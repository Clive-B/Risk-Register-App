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41de8a6c5187765d/Desktop/"/>
    </mc:Choice>
  </mc:AlternateContent>
  <xr:revisionPtr revIDLastSave="16" documentId="8_{9D458CCE-353D-4E1E-B3CC-E9807D6D4542}" xr6:coauthVersionLast="47" xr6:coauthVersionMax="47" xr10:uidLastSave="{991D9BA8-F570-49B1-B44B-8785FA9004F1}"/>
  <bookViews>
    <workbookView xWindow="-110" yWindow="-110" windowWidth="19420" windowHeight="11500" xr2:uid="{00000000-000D-0000-FFFF-FFFF00000000}"/>
  </bookViews>
  <sheets>
    <sheet name="Risk Register" sheetId="2" r:id="rId1"/>
    <sheet name="Lookups"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8" i="2" l="1"/>
</calcChain>
</file>

<file path=xl/sharedStrings.xml><?xml version="1.0" encoding="utf-8"?>
<sst xmlns="http://schemas.openxmlformats.org/spreadsheetml/2006/main" count="189" uniqueCount="113">
  <si>
    <t>Risk ID</t>
  </si>
  <si>
    <t>Risk Name</t>
  </si>
  <si>
    <t>Date Updated</t>
  </si>
  <si>
    <t>Risk Description</t>
  </si>
  <si>
    <t>Date Captured</t>
  </si>
  <si>
    <t>Risk Owner</t>
  </si>
  <si>
    <t>Pre-Mitigation Impact</t>
  </si>
  <si>
    <t>Pre-Mitigation Likelihood</t>
  </si>
  <si>
    <t>Pre-Mitigation Score</t>
  </si>
  <si>
    <t>Pre Mitigation Scores</t>
  </si>
  <si>
    <t>Current Scores</t>
  </si>
  <si>
    <t>Current Impact</t>
  </si>
  <si>
    <t>Current Likelihood</t>
  </si>
  <si>
    <t>Current Score</t>
  </si>
  <si>
    <t>Post Mitigation Scores</t>
  </si>
  <si>
    <t>Post-Mitigation Impact</t>
  </si>
  <si>
    <t>Post-Mitigation Likelihood</t>
  </si>
  <si>
    <t>Post-Mitigation Score</t>
  </si>
  <si>
    <t>Mitigation Plan / Actions</t>
  </si>
  <si>
    <t>Risk Proximity</t>
  </si>
  <si>
    <t>Escalation Level</t>
  </si>
  <si>
    <t>Last Review Date</t>
  </si>
  <si>
    <t>Next Review Date</t>
  </si>
  <si>
    <t>Risk Impact</t>
  </si>
  <si>
    <t>Minor</t>
  </si>
  <si>
    <t>Very Minor</t>
  </si>
  <si>
    <t>Moderate</t>
  </si>
  <si>
    <t>Significant</t>
  </si>
  <si>
    <t>Catastrophic</t>
  </si>
  <si>
    <t>Risk Likelihood</t>
  </si>
  <si>
    <t>1 - 20%</t>
  </si>
  <si>
    <t>21 - 40%</t>
  </si>
  <si>
    <t>41 - 60%</t>
  </si>
  <si>
    <t>61 - 80%</t>
  </si>
  <si>
    <t>81 - 99%</t>
  </si>
  <si>
    <t>Impact</t>
  </si>
  <si>
    <t>Likelihood</t>
  </si>
  <si>
    <t>Risk Response</t>
  </si>
  <si>
    <t>Avoid</t>
  </si>
  <si>
    <t>Reduce</t>
  </si>
  <si>
    <t>Fallback</t>
  </si>
  <si>
    <t>Transfer</t>
  </si>
  <si>
    <t>Share</t>
  </si>
  <si>
    <t>Accept</t>
  </si>
  <si>
    <t>Workstream</t>
  </si>
  <si>
    <t>Historical Progress</t>
  </si>
  <si>
    <t>Notes</t>
  </si>
  <si>
    <t>Target Completion Date</t>
  </si>
  <si>
    <t>Operational or Project Risk</t>
  </si>
  <si>
    <t>Program</t>
  </si>
  <si>
    <t>Current Status</t>
  </si>
  <si>
    <t>In progress</t>
  </si>
  <si>
    <t>medium term</t>
  </si>
  <si>
    <t>DG</t>
  </si>
  <si>
    <t>30/6/2026</t>
  </si>
  <si>
    <t>30/12/2026</t>
  </si>
  <si>
    <t>Work in progress</t>
  </si>
  <si>
    <t>Lead Division</t>
  </si>
  <si>
    <t xml:space="preserve">Operational </t>
  </si>
  <si>
    <t>Year</t>
  </si>
  <si>
    <t>CYBRSK0001</t>
  </si>
  <si>
    <t xml:space="preserve">Expansion and modernization of the NCA-CERT </t>
  </si>
  <si>
    <t xml:space="preserve">The implementation and automation of Security Operations Center (SOC) processes may be ineffective, delayed, or improperly configured, resulting in reduced threat detection accuracy, delayed incident response, operational disruptions, and increased exposure to cyber threats.
2. The NCA-CERT may be unable to effectively acquire, deploy, or utilize modern cybersecurity tools and platforms, limiting its ability to detect, analyze, and respond to cybersecurity incidents and emerging threats.
</t>
  </si>
  <si>
    <t>Monday, May 18, 2026</t>
  </si>
  <si>
    <t>Director Cyber Security</t>
  </si>
  <si>
    <t>1.Implement a phased SOC automation program.
2.Security orchestration and automation (SOAR) platform deployment.
3.SOC analyst training and certification
4.Improve procurement planning, and establish technology lifecycle management processes.</t>
  </si>
  <si>
    <t>30/07/2026</t>
  </si>
  <si>
    <t>CYBRSK0002</t>
  </si>
  <si>
    <t>Poor  monitoring dashboard for security alerts and visibility risk</t>
  </si>
  <si>
    <t>Implement the Information Security Management System (ISMS) for the Authority.</t>
  </si>
  <si>
    <t>The Information Security Management System is not effectively implemented due to inadequate development, communication, adoption, approval and maintenances of information security policies and procedures, resulting in inconsistent security practices and failure to achieve the intended information security objectives by end of year 2026.</t>
  </si>
  <si>
    <t>Monday, January 05,2026</t>
  </si>
  <si>
    <t>1.Approve information security policies and procedures aligned with organizational requirements.
2.Conduct organization-wide awareness and training programs.
3.Communicate policies and procedures through approved channels and require acknowledgment where appropriate.
4.Assign ownership for policy maintenance and compliance monitoring.
5.Perform periodic reviews and updates of policies and procedures.</t>
  </si>
  <si>
    <t xml:space="preserve">short term </t>
  </si>
  <si>
    <t>30/06/2026</t>
  </si>
  <si>
    <t xml:space="preserve">Memo has been sent for procurement </t>
  </si>
  <si>
    <t>Awaiting Board Approval 
Awareness Training Program has been scheduled to be facilitated</t>
  </si>
  <si>
    <t>Procurement</t>
  </si>
  <si>
    <t xml:space="preserve">Finance </t>
  </si>
  <si>
    <t>CYBRSK0003</t>
  </si>
  <si>
    <t>Establish the Information Assurance Lab (Digital Financial Services Operation and Forensic Analysis)</t>
  </si>
  <si>
    <t>The Information Assurance Lab may not be established or does not become fully operational due to inadequate resources, technical capabilities, governance arrangements, procurement delays and implementation planning resulting in reduced capacity to support digital financial services oversight and forensic analysis activities by end of year 2026.</t>
  </si>
  <si>
    <t>Operational</t>
  </si>
  <si>
    <t>Unapproved Cyber Security Policies and Procedures</t>
  </si>
  <si>
    <t>Uncompleted Information Assurance Lab</t>
  </si>
  <si>
    <t xml:space="preserve">Signing of MoU between Stakeholders </t>
  </si>
  <si>
    <t>CYBRSK0004</t>
  </si>
  <si>
    <t>Stakeholder Management and Engagement to ensure alignment and compliance to cyber security directives across the communications sector.</t>
  </si>
  <si>
    <t>Stakeholders across the communications sector do not align with or comply with cybersecurity directives due to ineffective stakeholder engagement, communication, coordination, or oversight mechanisms, resulting in inconsistent implementation of cybersecurity requirements and reduced sector-wide cybersecurity resilience by year end 2026</t>
  </si>
  <si>
    <t>1.Establish formal communication and consultation channels with stakeholders. 
2.Conduct periodic stakeholder meetings, workshops, and forums to address emerging issues.
3.Establish formal communication and consultation channels with stakeholders.
4.Develop and implement a stakeholder engagement and communication strategy.
5.Implement compliance monitoring and reporting mechanisms.</t>
  </si>
  <si>
    <t xml:space="preserve">Several stakeholder engagement meetings have been held with the licensed operators </t>
  </si>
  <si>
    <t>CYBRSK0005</t>
  </si>
  <si>
    <t xml:space="preserve">Implement Business Continuity and Disaster Recovery Plan for the Authority </t>
  </si>
  <si>
    <t>Business Continuity and Disaster Recovery Risk</t>
  </si>
  <si>
    <t>The Authority is unable to effectively respond to and recover from disruptive incidents due to inadequate implementation, testing, maintenance and awareness of the Business Continuity and Disaster Recovery Plan, resulting in prolonged service disruption and inability to achieve critical operational objectives.</t>
  </si>
  <si>
    <t>1. Develop and formally approve Business Continuity and Disaster Recovery Plans aligned with critical business functions for the Authority.
2. Conduct Business Impact Assessments (BIA) to identify critical services and recovery priorities.
3.Define Recovery Time Objectives (RTOs) and Recovery Point Objectives (RPOs) for critical systems and services.
4. Establish and maintain backup, recovery, and alternate-site arrangements.
5.Conduct regular BCP and DRP testing, simulations, and exercises.
6. Provide continuity and recovery awareness training to relevant personnel. 7.Clearly define and document continuity and recovery roles and responsibilities.
8.Periodically review and update plans based on changes in the operating environment and lessons learned from exercises or incidents</t>
  </si>
  <si>
    <t>CYBRSK0006</t>
  </si>
  <si>
    <t>Cyber security re-tooling to address security risks and establish adequate security for the Authority's Information Resources.</t>
  </si>
  <si>
    <t>1.Conduct a comprehensive requirements assessment before procurement. 
2. Procure the four critical cyber security tools namely
AI vulnerability Management Tool, Comprehensive Cybersecurity Defence platform, Enterprise Advanced Threat Detection and Response Tool and Enterprise Advanced Network Monitoring Tool. 
3.Develop a detailed implementation and integration roadmap with defined milestones and responsibilities.
4.Develop standard operating procedures for vulnerability management, threat detection, incident response, and network monitoring activities.</t>
  </si>
  <si>
    <t>Cybersecurity re-tooling to address security risks and establish adequate security for the Authority's information resources through the procurement and deployment of an AI Vulnerability Management Tool, Comprehensive Cybersecurity Defence Platform, Enterprise Advanced Threat Detection and Response Tool, and Enterprise Advanced Network Monitoring Tool by end of year 2026.</t>
  </si>
  <si>
    <t>Mon, January 05,2026</t>
  </si>
  <si>
    <t xml:space="preserve">Procurement </t>
  </si>
  <si>
    <t>RIPS</t>
  </si>
  <si>
    <t>CYBRSK0007</t>
  </si>
  <si>
    <t>Conduct Vulnerability Assessment and Penetration Testing (VAPT) and an independent audit  of the Authority</t>
  </si>
  <si>
    <t xml:space="preserve">Cyber Security, Regulatory and Operational Risk </t>
  </si>
  <si>
    <t>Unauthorized exploitation of identified vulnerabilities before remediation is completed, leading to compromise of critical systems. 
Scope limitations or exclusion of critical systems result in undiscovered vulnerabilities and incomplete audit assurance.</t>
  </si>
  <si>
    <t>Restrict access to VAPT findings, prioritize remediation of critical vulnerabilities, and implement interim compensating controls.
Define and approve a comprehensive audit scope, validate the asset inventory, and obtain management sign-off on exclusions</t>
  </si>
  <si>
    <t>Regulatory and Compliance Risk</t>
  </si>
  <si>
    <t>Operationa and Reputational</t>
  </si>
  <si>
    <t>Security Monitoring and Incident Detection Risk</t>
  </si>
  <si>
    <t>Management</t>
  </si>
  <si>
    <t>1. Inadequate funding
2.Delays in procurement and deployment specialized tools. 
3.Insufficient implementation planning
4. Unclear governance structures
5. Lack of stakeholder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</si>
</sst>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4"/>
      <color theme="1"/>
      <name val="Calibri"/>
      <family val="2"/>
      <scheme val="minor"/>
    </font>
    <font>
      <sz val="10"/>
      <color theme="1"/>
      <name val="Arial"/>
      <family val="2"/>
    </font>
    <font>
      <b/>
      <sz val="12"/>
      <color theme="1"/>
      <name val="Cambria"/>
      <family val="1"/>
    </font>
    <font>
      <sz val="12"/>
      <color theme="1"/>
      <name val="Cambria"/>
      <family val="1"/>
    </font>
    <font>
      <sz val="12"/>
      <color theme="0"/>
      <name val="Cambria"/>
      <family val="1"/>
    </font>
    <font>
      <sz val="12"/>
      <color theme="2"/>
      <name val="Cambria"/>
      <family val="1"/>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3" fillId="0" borderId="0" xfId="0" applyFont="1"/>
    <xf numFmtId="0" fontId="2" fillId="2" borderId="1" xfId="0" applyFont="1" applyFill="1" applyBorder="1" applyAlignment="1">
      <alignment vertical="center" wrapText="1"/>
    </xf>
    <xf numFmtId="0" fontId="3" fillId="0" borderId="1" xfId="0" applyFont="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164" fontId="3" fillId="0" borderId="1" xfId="0" applyNumberFormat="1" applyFont="1" applyBorder="1" applyAlignment="1">
      <alignment horizontal="left" vertical="center"/>
    </xf>
    <xf numFmtId="164" fontId="3" fillId="0" borderId="1" xfId="0" applyNumberFormat="1" applyFont="1" applyBorder="1" applyAlignment="1">
      <alignment vertical="center"/>
    </xf>
    <xf numFmtId="0" fontId="4" fillId="5" borderId="0" xfId="0" applyFont="1" applyFill="1" applyAlignment="1">
      <alignment horizontal="center" vertical="center"/>
    </xf>
    <xf numFmtId="0" fontId="3" fillId="4" borderId="0" xfId="0" applyFont="1" applyFill="1" applyAlignment="1">
      <alignment horizontal="center" vertical="center"/>
    </xf>
    <xf numFmtId="0" fontId="4" fillId="3" borderId="0" xfId="0" applyFont="1" applyFill="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left"/>
    </xf>
    <xf numFmtId="0" fontId="3" fillId="0" borderId="2" xfId="0" applyFont="1" applyBorder="1"/>
    <xf numFmtId="0" fontId="2" fillId="2" borderId="1" xfId="0" applyFont="1" applyFill="1" applyBorder="1" applyAlignment="1">
      <alignment horizontal="center" vertical="center"/>
    </xf>
    <xf numFmtId="0" fontId="2" fillId="2" borderId="0" xfId="0" applyFont="1" applyFill="1" applyAlignment="1">
      <alignment horizontal="center" vertical="center" textRotation="90"/>
    </xf>
    <xf numFmtId="0" fontId="2" fillId="2" borderId="0" xfId="0" applyFont="1" applyFill="1" applyAlignment="1">
      <alignment horizontal="center" vertical="center"/>
    </xf>
    <xf numFmtId="0" fontId="3" fillId="0" borderId="1" xfId="0" applyFont="1" applyBorder="1" applyAlignment="1">
      <alignment vertical="top" wrapText="1"/>
    </xf>
    <xf numFmtId="14" fontId="3" fillId="0" borderId="1" xfId="0" applyNumberFormat="1" applyFont="1" applyBorder="1" applyAlignment="1">
      <alignment vertical="center"/>
    </xf>
    <xf numFmtId="0" fontId="3" fillId="3" borderId="1" xfId="0" applyFont="1" applyFill="1" applyBorder="1" applyAlignment="1">
      <alignment vertical="center"/>
    </xf>
    <xf numFmtId="0" fontId="5" fillId="6" borderId="1" xfId="0" applyFont="1" applyFill="1" applyBorder="1" applyAlignment="1">
      <alignment vertical="center"/>
    </xf>
    <xf numFmtId="0" fontId="5" fillId="3" borderId="1" xfId="0" applyFont="1" applyFill="1" applyBorder="1" applyAlignment="1">
      <alignment vertical="center"/>
    </xf>
    <xf numFmtId="0" fontId="2" fillId="2" borderId="1" xfId="0" applyFont="1" applyFill="1" applyBorder="1" applyAlignment="1">
      <alignment horizontal="right"/>
    </xf>
    <xf numFmtId="15" fontId="2" fillId="2" borderId="1" xfId="0" applyNumberFormat="1" applyFont="1" applyFill="1" applyBorder="1" applyAlignment="1">
      <alignment vertical="center"/>
    </xf>
  </cellXfs>
  <cellStyles count="1">
    <cellStyle name="Normal" xfId="0" builtinId="0"/>
  </cellStyles>
  <dxfs count="3">
    <dxf>
      <font>
        <color theme="0"/>
      </font>
      <fill>
        <patternFill>
          <bgColor theme="9" tint="-0.499984740745262"/>
        </patternFill>
      </fill>
    </dxf>
    <dxf>
      <fill>
        <patternFill>
          <bgColor rgb="FFFFC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371476</xdr:colOff>
      <xdr:row>1</xdr:row>
      <xdr:rowOff>1</xdr:rowOff>
    </xdr:from>
    <xdr:to>
      <xdr:col>4</xdr:col>
      <xdr:colOff>3133726</xdr:colOff>
      <xdr:row>6</xdr:row>
      <xdr:rowOff>114668</xdr:rowOff>
    </xdr:to>
    <xdr:pic>
      <xdr:nvPicPr>
        <xdr:cNvPr id="6" name="Picture 5">
          <a:extLst>
            <a:ext uri="{FF2B5EF4-FFF2-40B4-BE49-F238E27FC236}">
              <a16:creationId xmlns:a16="http://schemas.microsoft.com/office/drawing/2014/main" id="{A315AD78-E6C7-4F67-BB76-9654DF05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3926" y="161926"/>
          <a:ext cx="2762250" cy="106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B20"/>
  <sheetViews>
    <sheetView tabSelected="1" zoomScale="80" zoomScaleNormal="80" workbookViewId="0">
      <selection activeCell="U20" sqref="U20"/>
    </sheetView>
  </sheetViews>
  <sheetFormatPr defaultColWidth="8.78515625" defaultRowHeight="15" x14ac:dyDescent="0.25"/>
  <cols>
    <col min="1" max="1" width="3.5703125" style="1" customWidth="1"/>
    <col min="2" max="2" width="14.0703125" style="6" customWidth="1"/>
    <col min="3" max="3" width="28.7109375" style="6" customWidth="1"/>
    <col min="4" max="4" width="20.0703125" style="6" customWidth="1"/>
    <col min="5" max="5" width="47.5703125" style="6" customWidth="1"/>
    <col min="6" max="6" width="20.92578125" style="6" customWidth="1"/>
    <col min="7" max="7" width="19.85546875" style="6" customWidth="1"/>
    <col min="8" max="8" width="13.42578125" style="6" customWidth="1"/>
    <col min="9" max="9" width="13" style="6" customWidth="1"/>
    <col min="10" max="10" width="12.92578125" style="6" customWidth="1"/>
    <col min="11" max="11" width="8.78515625" style="6"/>
    <col min="12" max="12" width="10.92578125" style="6" customWidth="1"/>
    <col min="13" max="13" width="8.78515625" style="6"/>
    <col min="14" max="14" width="11.2109375" style="6" customWidth="1"/>
    <col min="15" max="15" width="12.0703125" style="6" customWidth="1"/>
    <col min="16" max="16" width="11.5" style="6" customWidth="1"/>
    <col min="17" max="17" width="10.5703125" style="6" customWidth="1"/>
    <col min="18" max="18" width="40.0703125" style="6" customWidth="1"/>
    <col min="19" max="19" width="9.78515625" style="6" customWidth="1"/>
    <col min="20" max="20" width="12.42578125" style="6" customWidth="1"/>
    <col min="21" max="21" width="12.7109375" style="6" customWidth="1"/>
    <col min="22" max="22" width="15.140625" style="6" customWidth="1"/>
    <col min="23" max="23" width="8.78515625" style="6"/>
    <col min="24" max="24" width="10.2109375" style="6" customWidth="1"/>
    <col min="25" max="25" width="10.5" style="6" customWidth="1"/>
    <col min="26" max="26" width="12.5" style="6" customWidth="1"/>
    <col min="27" max="27" width="14.7109375" style="6" customWidth="1"/>
    <col min="28" max="28" width="12.85546875" style="6" customWidth="1"/>
    <col min="29" max="16384" width="8.78515625" style="1"/>
  </cols>
  <sheetData>
    <row r="2" spans="2:28" x14ac:dyDescent="0.25">
      <c r="B2" s="7" t="s">
        <v>59</v>
      </c>
      <c r="C2" s="7">
        <v>2026</v>
      </c>
      <c r="F2" s="19" t="s">
        <v>23</v>
      </c>
      <c r="G2" s="19"/>
      <c r="I2" s="19" t="s">
        <v>29</v>
      </c>
      <c r="J2" s="19"/>
      <c r="L2" s="8" t="s">
        <v>37</v>
      </c>
    </row>
    <row r="3" spans="2:28" x14ac:dyDescent="0.3">
      <c r="B3" s="7" t="s">
        <v>57</v>
      </c>
      <c r="C3" s="27" t="s">
        <v>102</v>
      </c>
      <c r="F3" s="9">
        <v>1</v>
      </c>
      <c r="G3" s="6" t="s">
        <v>25</v>
      </c>
      <c r="I3" s="9">
        <v>1</v>
      </c>
      <c r="J3" s="6" t="s">
        <v>30</v>
      </c>
      <c r="L3" s="6" t="s">
        <v>38</v>
      </c>
    </row>
    <row r="4" spans="2:28" x14ac:dyDescent="0.25">
      <c r="B4" s="7" t="s">
        <v>2</v>
      </c>
      <c r="C4" s="28">
        <v>46191</v>
      </c>
      <c r="F4" s="9">
        <v>2</v>
      </c>
      <c r="G4" s="6" t="s">
        <v>24</v>
      </c>
      <c r="I4" s="9">
        <v>2</v>
      </c>
      <c r="J4" s="6" t="s">
        <v>31</v>
      </c>
      <c r="L4" s="6" t="s">
        <v>39</v>
      </c>
    </row>
    <row r="5" spans="2:28" x14ac:dyDescent="0.25">
      <c r="F5" s="9">
        <v>3</v>
      </c>
      <c r="G5" s="6" t="s">
        <v>26</v>
      </c>
      <c r="I5" s="9">
        <v>3</v>
      </c>
      <c r="J5" s="6" t="s">
        <v>32</v>
      </c>
      <c r="L5" s="6" t="s">
        <v>40</v>
      </c>
    </row>
    <row r="6" spans="2:28" x14ac:dyDescent="0.25">
      <c r="F6" s="9">
        <v>4</v>
      </c>
      <c r="G6" s="6" t="s">
        <v>27</v>
      </c>
      <c r="I6" s="9">
        <v>4</v>
      </c>
      <c r="J6" s="6" t="s">
        <v>33</v>
      </c>
      <c r="L6" s="6" t="s">
        <v>41</v>
      </c>
    </row>
    <row r="7" spans="2:28" x14ac:dyDescent="0.25">
      <c r="F7" s="9">
        <v>5</v>
      </c>
      <c r="G7" s="6" t="s">
        <v>28</v>
      </c>
      <c r="I7" s="9">
        <v>5</v>
      </c>
      <c r="J7" s="6" t="s">
        <v>34</v>
      </c>
      <c r="L7" s="6" t="s">
        <v>42</v>
      </c>
    </row>
    <row r="8" spans="2:28" x14ac:dyDescent="0.25">
      <c r="L8" s="6" t="s">
        <v>43</v>
      </c>
    </row>
    <row r="11" spans="2:28" s="2" customFormat="1" ht="19.5" customHeight="1" x14ac:dyDescent="0.45">
      <c r="B11" s="6"/>
      <c r="C11" s="6"/>
      <c r="D11" s="6"/>
      <c r="E11" s="6"/>
      <c r="F11" s="6"/>
      <c r="G11" s="6"/>
      <c r="H11" s="19" t="s">
        <v>9</v>
      </c>
      <c r="I11" s="19"/>
      <c r="J11" s="19"/>
      <c r="K11" s="19" t="s">
        <v>10</v>
      </c>
      <c r="L11" s="19"/>
      <c r="M11" s="19"/>
      <c r="N11" s="19" t="s">
        <v>14</v>
      </c>
      <c r="O11" s="19"/>
      <c r="P11" s="19"/>
      <c r="Q11" s="6"/>
      <c r="R11" s="6"/>
      <c r="S11" s="6"/>
      <c r="T11" s="6"/>
      <c r="U11" s="6"/>
      <c r="V11" s="6"/>
      <c r="W11" s="6"/>
      <c r="X11" s="6"/>
      <c r="Y11" s="6"/>
      <c r="Z11" s="6"/>
      <c r="AA11" s="6"/>
      <c r="AB11" s="6"/>
    </row>
    <row r="12" spans="2:28" s="3" customFormat="1" ht="45" x14ac:dyDescent="0.45">
      <c r="B12" s="5" t="s">
        <v>0</v>
      </c>
      <c r="C12" s="5" t="s">
        <v>49</v>
      </c>
      <c r="D12" s="5" t="s">
        <v>1</v>
      </c>
      <c r="E12" s="5" t="s">
        <v>3</v>
      </c>
      <c r="F12" s="5" t="s">
        <v>4</v>
      </c>
      <c r="G12" s="5" t="s">
        <v>5</v>
      </c>
      <c r="H12" s="5" t="s">
        <v>6</v>
      </c>
      <c r="I12" s="5" t="s">
        <v>7</v>
      </c>
      <c r="J12" s="5" t="s">
        <v>8</v>
      </c>
      <c r="K12" s="5" t="s">
        <v>11</v>
      </c>
      <c r="L12" s="5" t="s">
        <v>12</v>
      </c>
      <c r="M12" s="5" t="s">
        <v>13</v>
      </c>
      <c r="N12" s="5" t="s">
        <v>15</v>
      </c>
      <c r="O12" s="5" t="s">
        <v>16</v>
      </c>
      <c r="P12" s="5" t="s">
        <v>17</v>
      </c>
      <c r="Q12" s="5" t="s">
        <v>37</v>
      </c>
      <c r="R12" s="5" t="s">
        <v>18</v>
      </c>
      <c r="S12" s="5" t="s">
        <v>50</v>
      </c>
      <c r="T12" s="5" t="s">
        <v>19</v>
      </c>
      <c r="U12" s="5" t="s">
        <v>44</v>
      </c>
      <c r="V12" s="5" t="s">
        <v>48</v>
      </c>
      <c r="W12" s="5" t="s">
        <v>20</v>
      </c>
      <c r="X12" s="5" t="s">
        <v>21</v>
      </c>
      <c r="Y12" s="5" t="s">
        <v>22</v>
      </c>
      <c r="Z12" s="5" t="s">
        <v>47</v>
      </c>
      <c r="AA12" s="5" t="s">
        <v>45</v>
      </c>
      <c r="AB12" s="5" t="s">
        <v>46</v>
      </c>
    </row>
    <row r="13" spans="2:28" ht="174" customHeight="1" x14ac:dyDescent="0.25">
      <c r="B13" s="6" t="s">
        <v>60</v>
      </c>
      <c r="C13" s="10" t="s">
        <v>61</v>
      </c>
      <c r="D13" s="10" t="s">
        <v>68</v>
      </c>
      <c r="E13" s="22" t="s">
        <v>62</v>
      </c>
      <c r="F13" s="11" t="s">
        <v>63</v>
      </c>
      <c r="G13" s="10" t="s">
        <v>64</v>
      </c>
      <c r="H13" s="6">
        <v>5</v>
      </c>
      <c r="I13" s="6">
        <v>4</v>
      </c>
      <c r="J13" s="6">
        <v>20</v>
      </c>
      <c r="K13" s="6">
        <v>5</v>
      </c>
      <c r="L13" s="6">
        <v>4</v>
      </c>
      <c r="M13" s="6">
        <v>20</v>
      </c>
      <c r="N13" s="6">
        <v>2</v>
      </c>
      <c r="O13" s="6">
        <v>2</v>
      </c>
      <c r="P13" s="6">
        <v>4</v>
      </c>
      <c r="Q13" s="6" t="s">
        <v>42</v>
      </c>
      <c r="R13" s="22" t="s">
        <v>65</v>
      </c>
      <c r="S13" s="6" t="s">
        <v>51</v>
      </c>
      <c r="T13" s="6" t="s">
        <v>52</v>
      </c>
      <c r="U13" s="6" t="s">
        <v>77</v>
      </c>
      <c r="V13" s="6" t="s">
        <v>58</v>
      </c>
      <c r="W13" s="6" t="s">
        <v>53</v>
      </c>
      <c r="X13" s="23">
        <v>46023</v>
      </c>
      <c r="Y13" s="6" t="s">
        <v>66</v>
      </c>
      <c r="Z13" s="6" t="s">
        <v>55</v>
      </c>
      <c r="AA13" s="10" t="s">
        <v>75</v>
      </c>
    </row>
    <row r="14" spans="2:28" ht="195" customHeight="1" x14ac:dyDescent="0.25">
      <c r="B14" s="6" t="s">
        <v>67</v>
      </c>
      <c r="C14" s="10" t="s">
        <v>69</v>
      </c>
      <c r="D14" s="10" t="s">
        <v>83</v>
      </c>
      <c r="E14" s="10" t="s">
        <v>70</v>
      </c>
      <c r="F14" s="11" t="s">
        <v>71</v>
      </c>
      <c r="G14" s="10" t="s">
        <v>64</v>
      </c>
      <c r="H14" s="6">
        <v>4</v>
      </c>
      <c r="I14" s="6">
        <v>4</v>
      </c>
      <c r="J14" s="6">
        <v>16</v>
      </c>
      <c r="K14" s="6">
        <v>4</v>
      </c>
      <c r="L14" s="6">
        <v>4</v>
      </c>
      <c r="M14" s="6">
        <v>16</v>
      </c>
      <c r="N14" s="6">
        <v>2</v>
      </c>
      <c r="O14" s="6">
        <v>2</v>
      </c>
      <c r="P14" s="6">
        <v>4</v>
      </c>
      <c r="Q14" s="6" t="s">
        <v>39</v>
      </c>
      <c r="R14" s="10" t="s">
        <v>72</v>
      </c>
      <c r="S14" s="6" t="s">
        <v>51</v>
      </c>
      <c r="T14" s="6" t="s">
        <v>73</v>
      </c>
      <c r="U14" s="6" t="s">
        <v>78</v>
      </c>
      <c r="V14" s="6" t="s">
        <v>58</v>
      </c>
      <c r="W14" s="6" t="s">
        <v>53</v>
      </c>
      <c r="X14" s="23">
        <v>46023</v>
      </c>
      <c r="Y14" s="6" t="s">
        <v>74</v>
      </c>
      <c r="Z14" s="6" t="s">
        <v>55</v>
      </c>
      <c r="AA14" s="10" t="s">
        <v>76</v>
      </c>
      <c r="AB14" s="6" t="s">
        <v>56</v>
      </c>
    </row>
    <row r="15" spans="2:28" ht="125.5" customHeight="1" x14ac:dyDescent="0.25">
      <c r="B15" s="6" t="s">
        <v>79</v>
      </c>
      <c r="C15" s="10" t="s">
        <v>80</v>
      </c>
      <c r="D15" s="10" t="s">
        <v>84</v>
      </c>
      <c r="E15" s="10" t="s">
        <v>81</v>
      </c>
      <c r="F15" s="11" t="s">
        <v>71</v>
      </c>
      <c r="G15" s="10" t="s">
        <v>64</v>
      </c>
      <c r="H15" s="6">
        <v>4</v>
      </c>
      <c r="I15" s="6">
        <v>4</v>
      </c>
      <c r="J15" s="6">
        <v>16</v>
      </c>
      <c r="K15" s="6">
        <v>4</v>
      </c>
      <c r="L15" s="6">
        <v>4</v>
      </c>
      <c r="M15" s="6">
        <v>16</v>
      </c>
      <c r="N15" s="6">
        <v>2</v>
      </c>
      <c r="O15" s="6">
        <v>3</v>
      </c>
      <c r="P15" s="6">
        <v>6</v>
      </c>
      <c r="Q15" s="6" t="s">
        <v>39</v>
      </c>
      <c r="R15" s="10" t="s">
        <v>112</v>
      </c>
      <c r="S15" s="6" t="s">
        <v>51</v>
      </c>
      <c r="T15" s="6" t="s">
        <v>52</v>
      </c>
      <c r="U15" s="6" t="s">
        <v>77</v>
      </c>
      <c r="V15" s="6" t="s">
        <v>82</v>
      </c>
      <c r="W15" s="6" t="s">
        <v>53</v>
      </c>
      <c r="X15" s="23">
        <v>46023</v>
      </c>
      <c r="Y15" s="6" t="s">
        <v>54</v>
      </c>
      <c r="Z15" s="6" t="s">
        <v>55</v>
      </c>
      <c r="AA15" s="10" t="s">
        <v>85</v>
      </c>
      <c r="AB15" s="6" t="s">
        <v>56</v>
      </c>
    </row>
    <row r="16" spans="2:28" ht="169.5" customHeight="1" x14ac:dyDescent="0.25">
      <c r="B16" s="6" t="s">
        <v>86</v>
      </c>
      <c r="C16" s="10" t="s">
        <v>87</v>
      </c>
      <c r="D16" s="10" t="s">
        <v>108</v>
      </c>
      <c r="E16" s="10" t="s">
        <v>88</v>
      </c>
      <c r="F16" s="11" t="s">
        <v>71</v>
      </c>
      <c r="G16" s="10" t="s">
        <v>64</v>
      </c>
      <c r="H16" s="6">
        <v>4</v>
      </c>
      <c r="I16" s="6">
        <v>4</v>
      </c>
      <c r="J16" s="6">
        <v>16</v>
      </c>
      <c r="K16" s="6">
        <v>4</v>
      </c>
      <c r="L16" s="6">
        <v>4</v>
      </c>
      <c r="M16" s="6">
        <v>16</v>
      </c>
      <c r="N16" s="6">
        <v>3</v>
      </c>
      <c r="O16" s="6">
        <v>3</v>
      </c>
      <c r="P16" s="6">
        <v>9</v>
      </c>
      <c r="Q16" s="6" t="s">
        <v>39</v>
      </c>
      <c r="R16" s="10" t="s">
        <v>89</v>
      </c>
      <c r="S16" s="6" t="s">
        <v>51</v>
      </c>
      <c r="T16" s="6" t="s">
        <v>73</v>
      </c>
      <c r="V16" s="6" t="s">
        <v>58</v>
      </c>
      <c r="W16" s="6" t="s">
        <v>53</v>
      </c>
      <c r="X16" s="23">
        <v>46023</v>
      </c>
      <c r="Y16" s="6" t="s">
        <v>54</v>
      </c>
      <c r="Z16" s="6" t="s">
        <v>55</v>
      </c>
      <c r="AA16" s="10" t="s">
        <v>90</v>
      </c>
      <c r="AB16" s="6" t="s">
        <v>56</v>
      </c>
    </row>
    <row r="17" spans="2:28" ht="253" customHeight="1" x14ac:dyDescent="0.25">
      <c r="B17" s="6" t="s">
        <v>91</v>
      </c>
      <c r="C17" s="10" t="s">
        <v>92</v>
      </c>
      <c r="D17" s="10" t="s">
        <v>93</v>
      </c>
      <c r="E17" s="10" t="s">
        <v>94</v>
      </c>
      <c r="F17" s="11" t="s">
        <v>71</v>
      </c>
      <c r="G17" s="10" t="s">
        <v>64</v>
      </c>
      <c r="H17" s="6">
        <v>5</v>
      </c>
      <c r="I17" s="6">
        <v>4</v>
      </c>
      <c r="J17" s="6">
        <v>20</v>
      </c>
      <c r="K17" s="6">
        <v>5</v>
      </c>
      <c r="L17" s="6">
        <v>4</v>
      </c>
      <c r="M17" s="6">
        <v>20</v>
      </c>
      <c r="N17" s="6">
        <v>2</v>
      </c>
      <c r="O17" s="6">
        <v>3</v>
      </c>
      <c r="P17" s="6">
        <v>6</v>
      </c>
      <c r="Q17" s="6" t="s">
        <v>39</v>
      </c>
      <c r="R17" s="10" t="s">
        <v>95</v>
      </c>
      <c r="S17" s="6" t="s">
        <v>51</v>
      </c>
      <c r="T17" s="6" t="s">
        <v>73</v>
      </c>
      <c r="V17" s="6" t="s">
        <v>58</v>
      </c>
      <c r="W17" s="6" t="s">
        <v>53</v>
      </c>
      <c r="X17" s="23">
        <v>46023</v>
      </c>
      <c r="Y17" s="6" t="s">
        <v>54</v>
      </c>
      <c r="Z17" s="6" t="s">
        <v>55</v>
      </c>
      <c r="AA17" s="6" t="s">
        <v>101</v>
      </c>
      <c r="AB17" s="6" t="s">
        <v>56</v>
      </c>
    </row>
    <row r="18" spans="2:28" ht="190.5" customHeight="1" x14ac:dyDescent="0.25">
      <c r="B18" s="6" t="s">
        <v>96</v>
      </c>
      <c r="C18" s="10" t="s">
        <v>97</v>
      </c>
      <c r="D18" s="10" t="s">
        <v>110</v>
      </c>
      <c r="E18" s="10" t="s">
        <v>99</v>
      </c>
      <c r="F18" s="12" t="s">
        <v>100</v>
      </c>
      <c r="G18" s="6" t="s">
        <v>64</v>
      </c>
      <c r="H18" s="6">
        <v>5</v>
      </c>
      <c r="I18" s="6">
        <v>5</v>
      </c>
      <c r="J18" s="6">
        <v>20</v>
      </c>
      <c r="K18" s="6">
        <v>5</v>
      </c>
      <c r="L18" s="6">
        <v>5</v>
      </c>
      <c r="M18" s="6">
        <f>K18*L18</f>
        <v>25</v>
      </c>
      <c r="N18" s="6">
        <v>2</v>
      </c>
      <c r="O18" s="6">
        <v>3</v>
      </c>
      <c r="P18" s="6">
        <v>6</v>
      </c>
      <c r="Q18" s="6" t="s">
        <v>39</v>
      </c>
      <c r="R18" s="10" t="s">
        <v>98</v>
      </c>
      <c r="S18" s="6" t="s">
        <v>51</v>
      </c>
      <c r="T18" s="6" t="s">
        <v>73</v>
      </c>
      <c r="U18" s="6" t="s">
        <v>77</v>
      </c>
      <c r="V18" s="10" t="s">
        <v>109</v>
      </c>
      <c r="W18" s="6" t="s">
        <v>53</v>
      </c>
      <c r="X18" s="23">
        <v>46023</v>
      </c>
      <c r="Y18" s="6" t="s">
        <v>54</v>
      </c>
      <c r="Z18" s="6" t="s">
        <v>55</v>
      </c>
      <c r="AA18" s="6" t="s">
        <v>101</v>
      </c>
      <c r="AB18" s="6" t="s">
        <v>56</v>
      </c>
    </row>
    <row r="19" spans="2:28" ht="128.5" customHeight="1" x14ac:dyDescent="0.25">
      <c r="B19" s="6" t="s">
        <v>103</v>
      </c>
      <c r="C19" s="10" t="s">
        <v>104</v>
      </c>
      <c r="D19" s="10" t="s">
        <v>105</v>
      </c>
      <c r="E19" s="10" t="s">
        <v>106</v>
      </c>
      <c r="F19" s="6" t="s">
        <v>71</v>
      </c>
      <c r="G19" s="6" t="s">
        <v>64</v>
      </c>
      <c r="H19" s="6">
        <v>5</v>
      </c>
      <c r="I19" s="6">
        <v>4</v>
      </c>
      <c r="J19" s="24">
        <v>20</v>
      </c>
      <c r="K19" s="6">
        <v>5</v>
      </c>
      <c r="L19" s="6">
        <v>4</v>
      </c>
      <c r="M19" s="26">
        <v>20</v>
      </c>
      <c r="N19" s="6">
        <v>2</v>
      </c>
      <c r="O19" s="6">
        <v>2</v>
      </c>
      <c r="P19" s="25">
        <v>4</v>
      </c>
      <c r="Q19" s="6" t="s">
        <v>39</v>
      </c>
      <c r="R19" s="10" t="s">
        <v>107</v>
      </c>
      <c r="S19" s="6" t="s">
        <v>51</v>
      </c>
      <c r="T19" s="6" t="s">
        <v>52</v>
      </c>
      <c r="U19" s="6" t="s">
        <v>111</v>
      </c>
      <c r="V19" s="10" t="s">
        <v>109</v>
      </c>
      <c r="W19" s="6" t="s">
        <v>53</v>
      </c>
      <c r="X19" s="23">
        <v>46023</v>
      </c>
      <c r="Y19" s="6" t="s">
        <v>54</v>
      </c>
      <c r="Z19" s="6" t="s">
        <v>55</v>
      </c>
      <c r="AB19" s="6" t="s">
        <v>56</v>
      </c>
    </row>
    <row r="20" spans="2:28" ht="81" customHeight="1" x14ac:dyDescent="0.25"/>
  </sheetData>
  <mergeCells count="5">
    <mergeCell ref="H11:J11"/>
    <mergeCell ref="K11:M11"/>
    <mergeCell ref="N11:P11"/>
    <mergeCell ref="F2:G2"/>
    <mergeCell ref="I2:J2"/>
  </mergeCells>
  <conditionalFormatting sqref="J13:J18 M13:M18 P13:P18">
    <cfRule type="cellIs" dxfId="2" priority="7" operator="greaterThanOrEqual">
      <formula>20</formula>
    </cfRule>
    <cfRule type="cellIs" dxfId="1" priority="8" operator="between">
      <formula>11</formula>
      <formula>19</formula>
    </cfRule>
    <cfRule type="cellIs" dxfId="0" priority="9" operator="between">
      <formula>1</formula>
      <formula>10</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Lookups!$B$3:$B$7</xm:f>
          </x14:formula1>
          <xm:sqref>K13:K18 N13:N18 H13:H18</xm:sqref>
        </x14:dataValidation>
        <x14:dataValidation type="list" allowBlank="1" showInputMessage="1" showErrorMessage="1" xr:uid="{00000000-0002-0000-0000-000001000000}">
          <x14:formula1>
            <xm:f>Lookups!$E$3:$E$7</xm:f>
          </x14:formula1>
          <xm:sqref>L13:L18 O13:O18 I13:I18</xm:sqref>
        </x14:dataValidation>
        <x14:dataValidation type="list" allowBlank="1" showInputMessage="1" showErrorMessage="1" xr:uid="{00000000-0002-0000-0000-000002000000}">
          <x14:formula1>
            <xm:f>Lookups!$I$3:$I$8</xm:f>
          </x14:formula1>
          <xm:sqref>Q13:Q18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19"/>
  <sheetViews>
    <sheetView workbookViewId="0">
      <selection activeCell="F11" sqref="F11"/>
    </sheetView>
  </sheetViews>
  <sheetFormatPr defaultRowHeight="18.5" x14ac:dyDescent="0.45"/>
  <cols>
    <col min="2" max="2" width="13.28515625" style="4" customWidth="1"/>
    <col min="3" max="3" width="12.35546875" style="4" customWidth="1"/>
    <col min="4" max="4" width="10" style="4" customWidth="1"/>
    <col min="5" max="5" width="5.2109375" style="4" customWidth="1"/>
    <col min="6" max="6" width="10.5703125" style="4" customWidth="1"/>
    <col min="7" max="8" width="5.2109375" style="4" customWidth="1"/>
    <col min="9" max="9" width="14.35546875" style="4" customWidth="1"/>
  </cols>
  <sheetData>
    <row r="2" spans="2:9" x14ac:dyDescent="0.45">
      <c r="B2" s="17" t="s">
        <v>23</v>
      </c>
      <c r="C2" s="17"/>
      <c r="D2" s="17"/>
      <c r="E2" s="17" t="s">
        <v>29</v>
      </c>
      <c r="F2" s="17"/>
      <c r="G2" s="17"/>
      <c r="H2" s="17"/>
      <c r="I2" s="17" t="s">
        <v>37</v>
      </c>
    </row>
    <row r="3" spans="2:9" x14ac:dyDescent="0.45">
      <c r="B3" s="17">
        <v>1</v>
      </c>
      <c r="C3" s="17" t="s">
        <v>25</v>
      </c>
      <c r="D3" s="17"/>
      <c r="E3" s="17">
        <v>1</v>
      </c>
      <c r="F3" s="17" t="s">
        <v>30</v>
      </c>
      <c r="G3" s="17"/>
      <c r="H3" s="17"/>
      <c r="I3" s="17" t="s">
        <v>38</v>
      </c>
    </row>
    <row r="4" spans="2:9" x14ac:dyDescent="0.45">
      <c r="B4" s="17">
        <v>2</v>
      </c>
      <c r="C4" s="17" t="s">
        <v>24</v>
      </c>
      <c r="D4" s="17"/>
      <c r="E4" s="17">
        <v>2</v>
      </c>
      <c r="F4" s="17" t="s">
        <v>31</v>
      </c>
      <c r="G4" s="17"/>
      <c r="H4" s="17"/>
      <c r="I4" s="17" t="s">
        <v>39</v>
      </c>
    </row>
    <row r="5" spans="2:9" x14ac:dyDescent="0.45">
      <c r="B5" s="17">
        <v>3</v>
      </c>
      <c r="C5" s="17" t="s">
        <v>26</v>
      </c>
      <c r="D5" s="17"/>
      <c r="E5" s="17">
        <v>3</v>
      </c>
      <c r="F5" s="17" t="s">
        <v>32</v>
      </c>
      <c r="G5" s="17"/>
      <c r="H5" s="17"/>
      <c r="I5" s="17" t="s">
        <v>40</v>
      </c>
    </row>
    <row r="6" spans="2:9" x14ac:dyDescent="0.45">
      <c r="B6" s="17">
        <v>4</v>
      </c>
      <c r="C6" s="17" t="s">
        <v>27</v>
      </c>
      <c r="D6" s="17"/>
      <c r="E6" s="17">
        <v>4</v>
      </c>
      <c r="F6" s="17" t="s">
        <v>33</v>
      </c>
      <c r="G6" s="17"/>
      <c r="H6" s="17"/>
      <c r="I6" s="17" t="s">
        <v>41</v>
      </c>
    </row>
    <row r="7" spans="2:9" x14ac:dyDescent="0.45">
      <c r="B7" s="17">
        <v>5</v>
      </c>
      <c r="C7" s="17" t="s">
        <v>28</v>
      </c>
      <c r="D7" s="17"/>
      <c r="E7" s="17">
        <v>5</v>
      </c>
      <c r="F7" s="17" t="s">
        <v>34</v>
      </c>
      <c r="G7" s="17"/>
      <c r="H7" s="17"/>
      <c r="I7" s="17" t="s">
        <v>42</v>
      </c>
    </row>
    <row r="8" spans="2:9" x14ac:dyDescent="0.45">
      <c r="B8" s="17"/>
      <c r="C8" s="17"/>
      <c r="D8" s="17"/>
      <c r="E8" s="17"/>
      <c r="F8" s="17"/>
      <c r="G8" s="17"/>
      <c r="H8" s="17"/>
      <c r="I8" s="17" t="s">
        <v>43</v>
      </c>
    </row>
    <row r="9" spans="2:9" ht="19" thickBot="1" x14ac:dyDescent="0.5"/>
    <row r="10" spans="2:9" ht="19" thickBot="1" x14ac:dyDescent="0.5">
      <c r="I10" s="18"/>
    </row>
    <row r="14" spans="2:9" ht="14.25" customHeight="1" x14ac:dyDescent="0.45">
      <c r="C14" s="20" t="s">
        <v>35</v>
      </c>
      <c r="D14" s="13">
        <v>5</v>
      </c>
      <c r="E14" s="14">
        <v>10</v>
      </c>
      <c r="F14" s="14">
        <v>15</v>
      </c>
      <c r="G14" s="15">
        <v>20</v>
      </c>
      <c r="H14" s="15">
        <v>25</v>
      </c>
    </row>
    <row r="15" spans="2:9" ht="14.25" customHeight="1" x14ac:dyDescent="0.45">
      <c r="C15" s="20"/>
      <c r="D15" s="13">
        <v>4</v>
      </c>
      <c r="E15" s="13">
        <v>8</v>
      </c>
      <c r="F15" s="14">
        <v>12</v>
      </c>
      <c r="G15" s="14">
        <v>16</v>
      </c>
      <c r="H15" s="15">
        <v>20</v>
      </c>
    </row>
    <row r="16" spans="2:9" ht="14.25" customHeight="1" x14ac:dyDescent="0.45">
      <c r="C16" s="20"/>
      <c r="D16" s="13">
        <v>3</v>
      </c>
      <c r="E16" s="13">
        <v>6</v>
      </c>
      <c r="F16" s="13">
        <v>9</v>
      </c>
      <c r="G16" s="14">
        <v>12</v>
      </c>
      <c r="H16" s="14">
        <v>15</v>
      </c>
    </row>
    <row r="17" spans="3:8" ht="14.25" customHeight="1" x14ac:dyDescent="0.45">
      <c r="C17" s="20"/>
      <c r="D17" s="13">
        <v>2</v>
      </c>
      <c r="E17" s="13">
        <v>4</v>
      </c>
      <c r="F17" s="13">
        <v>6</v>
      </c>
      <c r="G17" s="13">
        <v>8</v>
      </c>
      <c r="H17" s="14">
        <v>10</v>
      </c>
    </row>
    <row r="18" spans="3:8" ht="14.25" customHeight="1" x14ac:dyDescent="0.45">
      <c r="C18" s="20"/>
      <c r="D18" s="13">
        <v>1</v>
      </c>
      <c r="E18" s="13">
        <v>2</v>
      </c>
      <c r="F18" s="13">
        <v>3</v>
      </c>
      <c r="G18" s="13">
        <v>4</v>
      </c>
      <c r="H18" s="13">
        <v>5</v>
      </c>
    </row>
    <row r="19" spans="3:8" ht="14.25" customHeight="1" x14ac:dyDescent="0.45">
      <c r="C19" s="16"/>
      <c r="D19" s="21" t="s">
        <v>36</v>
      </c>
      <c r="E19" s="21"/>
      <c r="F19" s="21"/>
      <c r="G19" s="21"/>
      <c r="H19" s="21"/>
    </row>
  </sheetData>
  <mergeCells count="2">
    <mergeCell ref="C14:C18"/>
    <mergeCell ref="D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Taylor</dc:creator>
  <cp:lastModifiedBy>Nana Kofi</cp:lastModifiedBy>
  <dcterms:created xsi:type="dcterms:W3CDTF">2022-02-11T14:51:02Z</dcterms:created>
  <dcterms:modified xsi:type="dcterms:W3CDTF">2026-07-14T10:43:33Z</dcterms:modified>
</cp:coreProperties>
</file>
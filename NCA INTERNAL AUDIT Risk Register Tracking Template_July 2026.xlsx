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boduro-nimo\Downloads\"/>
    </mc:Choice>
  </mc:AlternateContent>
  <bookViews>
    <workbookView xWindow="0" yWindow="0" windowWidth="28800" windowHeight="12210"/>
  </bookViews>
  <sheets>
    <sheet name="Risk Register" sheetId="2" r:id="rId1"/>
    <sheet name="Lookups" sheetId="3"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33" i="2" l="1"/>
  <c r="M32" i="2"/>
  <c r="M31" i="2"/>
  <c r="M30" i="2"/>
  <c r="M29" i="2"/>
  <c r="M28" i="2"/>
  <c r="M26" i="2"/>
  <c r="M24" i="2"/>
  <c r="M15" i="2"/>
  <c r="M16" i="2"/>
  <c r="M25" i="2" l="1"/>
  <c r="M27" i="2"/>
  <c r="M21" i="2"/>
  <c r="M22" i="2"/>
  <c r="M20" i="2"/>
  <c r="M19" i="2"/>
  <c r="M18" i="2"/>
  <c r="M14" i="2"/>
  <c r="M17" i="2"/>
  <c r="M23" i="2" l="1"/>
  <c r="M13" i="2"/>
</calcChain>
</file>

<file path=xl/sharedStrings.xml><?xml version="1.0" encoding="utf-8"?>
<sst xmlns="http://schemas.openxmlformats.org/spreadsheetml/2006/main" count="381" uniqueCount="108">
  <si>
    <t>Risk ID</t>
  </si>
  <si>
    <t>Risk Name</t>
  </si>
  <si>
    <t>Date Updated</t>
  </si>
  <si>
    <t>Risk Description</t>
  </si>
  <si>
    <t>Date Captured</t>
  </si>
  <si>
    <t>Risk Owner</t>
  </si>
  <si>
    <t>Pre-Mitigation Impact</t>
  </si>
  <si>
    <t>Pre-Mitigation Likelihood</t>
  </si>
  <si>
    <t>Pre-Mitigation Score</t>
  </si>
  <si>
    <t>Pre Mitigation Scores</t>
  </si>
  <si>
    <t>Current Scores</t>
  </si>
  <si>
    <t>Current Impact</t>
  </si>
  <si>
    <t>Current Likelihood</t>
  </si>
  <si>
    <t>Current Score</t>
  </si>
  <si>
    <t>Post Mitigation Scores</t>
  </si>
  <si>
    <t>Post-Mitigation Impact</t>
  </si>
  <si>
    <t>Post-Mitigation Likelihood</t>
  </si>
  <si>
    <t>Post-Mitigation Score</t>
  </si>
  <si>
    <t>Mitigation Plan / Actions</t>
  </si>
  <si>
    <t>Risk Proximity</t>
  </si>
  <si>
    <t>Escalation Level</t>
  </si>
  <si>
    <t>Last Review Date</t>
  </si>
  <si>
    <t>Next Review Date</t>
  </si>
  <si>
    <t>Risk Impact</t>
  </si>
  <si>
    <t>Minor</t>
  </si>
  <si>
    <t>Very Minor</t>
  </si>
  <si>
    <t>Moderate</t>
  </si>
  <si>
    <t>Significant</t>
  </si>
  <si>
    <t>Catastrophic</t>
  </si>
  <si>
    <t>Risk Likelihood</t>
  </si>
  <si>
    <t>1 - 20%</t>
  </si>
  <si>
    <t>21 - 40%</t>
  </si>
  <si>
    <t>41 - 60%</t>
  </si>
  <si>
    <t>61 - 80%</t>
  </si>
  <si>
    <t>81 - 99%</t>
  </si>
  <si>
    <t>Impact</t>
  </si>
  <si>
    <t>Likelihood</t>
  </si>
  <si>
    <t>Risk Response</t>
  </si>
  <si>
    <t>Avoid</t>
  </si>
  <si>
    <t>Reduce</t>
  </si>
  <si>
    <t>Fallback</t>
  </si>
  <si>
    <t>Transfer</t>
  </si>
  <si>
    <t>Share</t>
  </si>
  <si>
    <t>Accept</t>
  </si>
  <si>
    <t>Workstream</t>
  </si>
  <si>
    <t>Historical Progress</t>
  </si>
  <si>
    <t>Notes</t>
  </si>
  <si>
    <t>Target Completion Date</t>
  </si>
  <si>
    <t>Operational or Project Risk</t>
  </si>
  <si>
    <t>Program</t>
  </si>
  <si>
    <t>Current Status</t>
  </si>
  <si>
    <t>In progress</t>
  </si>
  <si>
    <t>medium term</t>
  </si>
  <si>
    <t>DG</t>
  </si>
  <si>
    <t>30/9/2026</t>
  </si>
  <si>
    <t>Work in progress</t>
  </si>
  <si>
    <t>Lead Division</t>
  </si>
  <si>
    <t xml:space="preserve">Operational </t>
  </si>
  <si>
    <t>Year</t>
  </si>
  <si>
    <t>IARSK0001</t>
  </si>
  <si>
    <t>The automation process may fail to capture all necessary technical specifications, potentially leading to incomplete or inaccurate audit coverage</t>
  </si>
  <si>
    <t>Automate the internal audit activities through the acquisition and implementation of an audit software system</t>
  </si>
  <si>
    <t>Systems Acquisition and Implementation Risk</t>
  </si>
  <si>
    <t xml:space="preserve"> Director IA</t>
  </si>
  <si>
    <t>Adopt a structured project governance approach</t>
  </si>
  <si>
    <t>Procurement</t>
  </si>
  <si>
    <t>22/7/2026</t>
  </si>
  <si>
    <t>31/12/2026</t>
  </si>
  <si>
    <t>Stakeholder Engagement</t>
  </si>
  <si>
    <t>IARSK0002</t>
  </si>
  <si>
    <t>Build capacity of Internal Audit staff in operational areas such as Procurement, Legal and Regulatory Management</t>
  </si>
  <si>
    <t>Human Capital/ Competency Risk</t>
  </si>
  <si>
    <t>There might be a delay in acquisition, execution and implementation of the audit software due to budget constraints.</t>
  </si>
  <si>
    <t>The implementation of the audit management software system may not be completed or could be abandoned, jeopardizing the objective of automating internal audit activities</t>
  </si>
  <si>
    <t>Trained staff may resign to seek better opportunities, potentially leading to a loss of expertise and disruption in key operational areas</t>
  </si>
  <si>
    <t>Financial constraints may limit the ability to implement the planned training for Internal Audit staff.</t>
  </si>
  <si>
    <t>Targated Capacity Building</t>
  </si>
  <si>
    <t>Dedicated Annual Training Budget</t>
  </si>
  <si>
    <t>Succession and Retention strategy</t>
  </si>
  <si>
    <t>Short term</t>
  </si>
  <si>
    <t>Trainings</t>
  </si>
  <si>
    <t>IARSK0003</t>
  </si>
  <si>
    <t>IARSK0004</t>
  </si>
  <si>
    <t>Strategic Planning Risk</t>
  </si>
  <si>
    <t>Structured Methodology, Stakeholder Engagement and Continuous Monitoring</t>
  </si>
  <si>
    <t>Stakeholder Engagements</t>
  </si>
  <si>
    <t>IARSK0005</t>
  </si>
  <si>
    <t>Audit Execution Risk</t>
  </si>
  <si>
    <t>Standardized Methodology, Quality Controls, and Performance Monitoring</t>
  </si>
  <si>
    <t>Staff rejection or under-utilisation of the system due to lack of intuitive training or capacity building</t>
  </si>
  <si>
    <t>Build the capacity of Internal Audit staff  on Continuous Professional Learning</t>
  </si>
  <si>
    <t>The Authority may not approve the budget for capacity building initiatives aimed at developing the Internal Audit staff's knowledge of International Public Sector Accounting Standards (IPSAS) and Global Internal Audit Standards.</t>
  </si>
  <si>
    <t xml:space="preserve">Develop an Annual Risk-based internal audit work plan </t>
  </si>
  <si>
    <t>The audit may not be completed on a timely basis due to the non-availability of auditees, potentially impacting the development of a risk-based internal audit work plan.</t>
  </si>
  <si>
    <t>Resource bottlenecks due to compressed timelines; sudden staff turn-over; overlapping engagement schedules</t>
  </si>
  <si>
    <t>Poorly defined initial parameters and discovery of unexpexted control deficiencies.</t>
  </si>
  <si>
    <t>Data disruptions due to auditee teams being slow to provide evidence</t>
  </si>
  <si>
    <t>Data disruptions due to extraction errors in legacy IT systems</t>
  </si>
  <si>
    <t>Auditing reporting delays due to Management responses</t>
  </si>
  <si>
    <t>Audit fatigue due to multiple overlapping regulatory, Internal and External requests on Internal Audit Division</t>
  </si>
  <si>
    <t xml:space="preserve">Obsolescence due to rigid adherence to outdated audit work plan and failure to update when new macro risks emerged </t>
  </si>
  <si>
    <t>Budgetary constraints may hinder the execution of the annual Internal Audit Plan and limit the ability to conduct audits in additional thrust areas that may be requested in the year</t>
  </si>
  <si>
    <t>Conduct audit of the activities and systems at the NCA in the thrust areas approved in an annual Internal Audit Plan and any other thrust areas required in a year</t>
  </si>
  <si>
    <t>Loose security settings during deployment that exposes sensitive financial or personal data</t>
  </si>
  <si>
    <t xml:space="preserve"> The training may not achieve its intended purpose when existing legal frameworks become outdated and there's no further training for existing staff</t>
  </si>
  <si>
    <t>Scheduled capacity-building programs may not be conducted as planned, which could impede the objective of enhancing the Internal Audit staff's knowledge and skills on Professional Frameworks and Standards.</t>
  </si>
  <si>
    <t>Emerging Risks are not identified and captured into the annual audit work plan.</t>
  </si>
  <si>
    <t>Lack of adequate capacity building for Internal Audit staff on External Source (Government, Sector Ministry, IAA, etc) Directives for  the inclusion of specified thrust areas into the Annual Workplan.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</si>
</sst>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800]dddd\,\ mmmm\ dd\,\ yyyy"/>
  </numFmts>
  <fonts count="7">
    <font>
      <sz val="14"/>
      <color theme="1"/>
      <name val="Calibri"/>
      <family val="2"/>
      <scheme val="minor"/>
    </font>
    <font>
      <sz val="10"/>
      <color theme="1"/>
      <name val="Arial"/>
      <family val="2"/>
    </font>
    <font>
      <sz val="12"/>
      <name val="Arial"/>
      <charset val="134"/>
    </font>
    <font>
      <b/>
      <sz val="12"/>
      <color theme="1"/>
      <name val="Cambria"/>
      <family val="1"/>
    </font>
    <font>
      <sz val="12"/>
      <color theme="1"/>
      <name val="Cambria"/>
      <family val="1"/>
    </font>
    <font>
      <sz val="12"/>
      <name val="Cambria"/>
      <family val="1"/>
    </font>
    <font>
      <sz val="12"/>
      <color theme="0"/>
      <name val="Cambria"/>
      <family val="1"/>
    </font>
  </fonts>
  <fills count="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9" tint="-0.249977111117893"/>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s>
  <cellStyleXfs count="2">
    <xf numFmtId="0" fontId="0" fillId="0" borderId="0"/>
    <xf numFmtId="0" fontId="2" fillId="0" borderId="0"/>
  </cellStyleXfs>
  <cellXfs count="53">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vertical="top"/>
    </xf>
    <xf numFmtId="0" fontId="4" fillId="0" borderId="0" xfId="0" applyFont="1" applyBorder="1"/>
    <xf numFmtId="0" fontId="4" fillId="0" borderId="1" xfId="0" applyFont="1" applyBorder="1" applyAlignment="1">
      <alignment vertical="center"/>
    </xf>
    <xf numFmtId="0" fontId="3" fillId="2" borderId="1" xfId="0" applyFont="1" applyFill="1" applyBorder="1" applyAlignment="1">
      <alignment vertical="center"/>
    </xf>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vertical="center" wrapText="1"/>
    </xf>
    <xf numFmtId="164" fontId="4" fillId="0" borderId="1" xfId="0" applyNumberFormat="1" applyFont="1" applyBorder="1" applyAlignment="1">
      <alignment horizontal="left" vertical="center"/>
    </xf>
    <xf numFmtId="0" fontId="5" fillId="0" borderId="1" xfId="1" applyFont="1" applyBorder="1" applyAlignment="1">
      <alignment vertical="center" wrapText="1"/>
    </xf>
    <xf numFmtId="0" fontId="6" fillId="5" borderId="0" xfId="0" applyFont="1" applyFill="1" applyBorder="1" applyAlignment="1">
      <alignment horizontal="center" vertical="center"/>
    </xf>
    <xf numFmtId="0" fontId="4" fillId="4" borderId="0" xfId="0" applyFont="1" applyFill="1" applyBorder="1" applyAlignment="1">
      <alignment horizontal="center" vertical="center"/>
    </xf>
    <xf numFmtId="0" fontId="6" fillId="3" borderId="0" xfId="0" applyFont="1" applyFill="1" applyBorder="1" applyAlignment="1">
      <alignment horizontal="center" vertical="center"/>
    </xf>
    <xf numFmtId="0" fontId="4" fillId="2" borderId="0" xfId="0" applyFont="1" applyFill="1" applyBorder="1" applyAlignment="1">
      <alignment horizontal="center" vertical="center"/>
    </xf>
    <xf numFmtId="0" fontId="4" fillId="0" borderId="0" xfId="0" applyFont="1" applyBorder="1" applyAlignment="1">
      <alignment horizontal="left"/>
    </xf>
    <xf numFmtId="0" fontId="4" fillId="0" borderId="2" xfId="0" applyFont="1" applyBorder="1"/>
    <xf numFmtId="0" fontId="4" fillId="0" borderId="3" xfId="0" applyFont="1" applyBorder="1" applyAlignment="1">
      <alignment vertical="center"/>
    </xf>
    <xf numFmtId="0" fontId="4" fillId="0" borderId="5" xfId="0" applyFont="1" applyBorder="1" applyAlignment="1">
      <alignment vertical="center"/>
    </xf>
    <xf numFmtId="0" fontId="4" fillId="0" borderId="5" xfId="0" applyFont="1" applyBorder="1" applyAlignment="1">
      <alignment vertical="center" wrapText="1"/>
    </xf>
    <xf numFmtId="0" fontId="4" fillId="0" borderId="6" xfId="0"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4" xfId="0" applyFont="1" applyBorder="1" applyAlignment="1">
      <alignment vertical="center" wrapText="1"/>
    </xf>
    <xf numFmtId="164" fontId="4" fillId="0" borderId="14" xfId="0" applyNumberFormat="1" applyFont="1" applyBorder="1" applyAlignment="1">
      <alignment horizontal="left" vertical="center"/>
    </xf>
    <xf numFmtId="0" fontId="5" fillId="0" borderId="14" xfId="1" applyFont="1" applyBorder="1" applyAlignment="1">
      <alignment vertical="center" wrapText="1"/>
    </xf>
    <xf numFmtId="0" fontId="4" fillId="0" borderId="14" xfId="0" applyFont="1" applyBorder="1" applyAlignment="1">
      <alignment vertical="center"/>
    </xf>
    <xf numFmtId="0" fontId="4" fillId="0" borderId="15" xfId="0" applyFont="1" applyBorder="1" applyAlignment="1">
      <alignment vertical="center"/>
    </xf>
    <xf numFmtId="0" fontId="3" fillId="2" borderId="10" xfId="0" applyFont="1" applyFill="1" applyBorder="1" applyAlignment="1">
      <alignment vertical="center" wrapText="1"/>
    </xf>
    <xf numFmtId="0" fontId="3" fillId="2" borderId="3" xfId="0" applyFont="1" applyFill="1" applyBorder="1" applyAlignment="1">
      <alignment vertical="center" wrapText="1"/>
    </xf>
    <xf numFmtId="0" fontId="3" fillId="2" borderId="16" xfId="0" applyFont="1" applyFill="1" applyBorder="1" applyAlignment="1">
      <alignment vertical="center" wrapText="1"/>
    </xf>
    <xf numFmtId="164" fontId="4" fillId="0" borderId="5" xfId="0" applyNumberFormat="1" applyFont="1" applyBorder="1" applyAlignment="1">
      <alignment horizontal="left" vertical="center"/>
    </xf>
    <xf numFmtId="0" fontId="5" fillId="0" borderId="5" xfId="1" applyFont="1" applyBorder="1" applyAlignment="1">
      <alignment vertical="center" wrapText="1"/>
    </xf>
    <xf numFmtId="0" fontId="4" fillId="0" borderId="17" xfId="0" applyFont="1" applyBorder="1" applyAlignment="1">
      <alignment vertical="center"/>
    </xf>
    <xf numFmtId="0" fontId="4" fillId="0" borderId="7" xfId="0" applyFont="1" applyBorder="1" applyAlignment="1">
      <alignment vertical="center" wrapText="1"/>
    </xf>
    <xf numFmtId="164" fontId="4" fillId="0" borderId="7" xfId="0" applyNumberFormat="1" applyFont="1" applyBorder="1" applyAlignment="1">
      <alignment horizontal="left" vertical="center"/>
    </xf>
    <xf numFmtId="0" fontId="5" fillId="0" borderId="7" xfId="1" applyFont="1" applyBorder="1" applyAlignment="1">
      <alignment vertical="center" wrapText="1"/>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0" borderId="4"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4" xfId="0" applyFont="1" applyBorder="1" applyAlignment="1">
      <alignment horizontal="center" vertical="center"/>
    </xf>
    <xf numFmtId="0" fontId="4" fillId="0" borderId="13" xfId="0" applyFont="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wrapText="1"/>
    </xf>
    <xf numFmtId="0" fontId="4" fillId="0" borderId="19" xfId="0" applyFont="1" applyBorder="1" applyAlignment="1">
      <alignment horizontal="center" vertical="center"/>
    </xf>
    <xf numFmtId="0" fontId="3" fillId="2" borderId="0" xfId="0" applyFont="1" applyFill="1" applyBorder="1" applyAlignment="1">
      <alignment horizontal="center" vertical="center" textRotation="90"/>
    </xf>
    <xf numFmtId="0" fontId="3" fillId="2" borderId="0" xfId="0" applyFont="1" applyFill="1" applyBorder="1" applyAlignment="1">
      <alignment horizontal="center" vertical="center"/>
    </xf>
  </cellXfs>
  <cellStyles count="2">
    <cellStyle name="Normal" xfId="0" builtinId="0"/>
    <cellStyle name="Normal_Tufts Scoping Workbook_DRAFT11.03.08 - Unlocked" xfId="1"/>
  </cellStyles>
  <dxfs count="15">
    <dxf>
      <font>
        <color theme="0"/>
      </font>
      <fill>
        <patternFill>
          <bgColor theme="9" tint="-0.499984740745262"/>
        </patternFill>
      </fill>
    </dxf>
    <dxf>
      <fill>
        <patternFill>
          <bgColor rgb="FFFFC000"/>
        </patternFill>
      </fill>
    </dxf>
    <dxf>
      <font>
        <color theme="0"/>
      </font>
      <fill>
        <patternFill>
          <bgColor rgb="FFFF0000"/>
        </patternFill>
      </fill>
    </dxf>
    <dxf>
      <font>
        <color theme="0"/>
      </font>
      <fill>
        <patternFill>
          <bgColor theme="9" tint="-0.499984740745262"/>
        </patternFill>
      </fill>
    </dxf>
    <dxf>
      <fill>
        <patternFill>
          <bgColor rgb="FFFFC000"/>
        </patternFill>
      </fill>
    </dxf>
    <dxf>
      <font>
        <color theme="0"/>
      </font>
      <fill>
        <patternFill>
          <bgColor rgb="FFFF0000"/>
        </patternFill>
      </fill>
    </dxf>
    <dxf>
      <font>
        <color theme="0"/>
      </font>
      <fill>
        <patternFill>
          <bgColor theme="9" tint="-0.499984740745262"/>
        </patternFill>
      </fill>
    </dxf>
    <dxf>
      <fill>
        <patternFill>
          <bgColor rgb="FFFFC000"/>
        </patternFill>
      </fill>
    </dxf>
    <dxf>
      <font>
        <color theme="0"/>
      </font>
      <fill>
        <patternFill>
          <bgColor rgb="FFFF0000"/>
        </patternFill>
      </fill>
    </dxf>
    <dxf>
      <font>
        <color theme="0"/>
      </font>
      <fill>
        <patternFill>
          <bgColor theme="9" tint="-0.499984740745262"/>
        </patternFill>
      </fill>
    </dxf>
    <dxf>
      <fill>
        <patternFill>
          <bgColor rgb="FFFFC000"/>
        </patternFill>
      </fill>
    </dxf>
    <dxf>
      <font>
        <color theme="0"/>
      </font>
      <fill>
        <patternFill>
          <bgColor rgb="FFFF0000"/>
        </patternFill>
      </fill>
    </dxf>
    <dxf>
      <font>
        <color theme="0"/>
      </font>
      <fill>
        <patternFill>
          <bgColor theme="9" tint="-0.499984740745262"/>
        </patternFill>
      </fill>
    </dxf>
    <dxf>
      <fill>
        <patternFill>
          <bgColor rgb="FFFFC000"/>
        </patternFill>
      </fill>
    </dxf>
    <dxf>
      <font>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xdr:col>
      <xdr:colOff>371476</xdr:colOff>
      <xdr:row>1</xdr:row>
      <xdr:rowOff>1</xdr:rowOff>
    </xdr:from>
    <xdr:to>
      <xdr:col>4</xdr:col>
      <xdr:colOff>3133726</xdr:colOff>
      <xdr:row>6</xdr:row>
      <xdr:rowOff>114668</xdr:rowOff>
    </xdr:to>
    <xdr:pic>
      <xdr:nvPicPr>
        <xdr:cNvPr id="6" name="Picture 5">
          <a:extLst>
            <a:ext uri="{FF2B5EF4-FFF2-40B4-BE49-F238E27FC236}">
              <a16:creationId xmlns:a16="http://schemas.microsoft.com/office/drawing/2014/main" id="{A315AD78-E6C7-4F67-BB76-9654DF05E7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33926" y="161926"/>
          <a:ext cx="2762250" cy="1062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B34"/>
  <sheetViews>
    <sheetView tabSelected="1" zoomScaleNormal="100" workbookViewId="0">
      <selection activeCell="E26" sqref="E26"/>
    </sheetView>
  </sheetViews>
  <sheetFormatPr defaultColWidth="8.796875" defaultRowHeight="15.75"/>
  <cols>
    <col min="1" max="1" width="3.59765625" style="1" customWidth="1"/>
    <col min="2" max="2" width="14.09765625" style="6" customWidth="1"/>
    <col min="3" max="3" width="28.69921875" style="6" customWidth="1"/>
    <col min="4" max="4" width="20.09765625" style="6" customWidth="1"/>
    <col min="5" max="5" width="47.59765625" style="6" customWidth="1"/>
    <col min="6" max="6" width="20.8984375" style="6" customWidth="1"/>
    <col min="7" max="7" width="19.8984375" style="6" customWidth="1"/>
    <col min="8" max="8" width="13.3984375" style="6" customWidth="1"/>
    <col min="9" max="9" width="13" style="6" customWidth="1"/>
    <col min="10" max="10" width="12.8984375" style="6" customWidth="1"/>
    <col min="11" max="11" width="8.796875" style="6"/>
    <col min="12" max="12" width="10.8984375" style="6" customWidth="1"/>
    <col min="13" max="13" width="8.796875" style="6"/>
    <col min="14" max="14" width="11.19921875" style="6" customWidth="1"/>
    <col min="15" max="15" width="12.09765625" style="6" customWidth="1"/>
    <col min="16" max="16" width="11.5" style="6" customWidth="1"/>
    <col min="17" max="17" width="10.59765625" style="6" customWidth="1"/>
    <col min="18" max="18" width="30.5" style="6" customWidth="1"/>
    <col min="19" max="19" width="9.796875" style="6" customWidth="1"/>
    <col min="20" max="20" width="12.3984375" style="6" customWidth="1"/>
    <col min="21" max="22" width="12.69921875" style="6" customWidth="1"/>
    <col min="23" max="23" width="8.796875" style="6"/>
    <col min="24" max="24" width="10.19921875" style="6" customWidth="1"/>
    <col min="25" max="25" width="10.5" style="6" customWidth="1"/>
    <col min="26" max="26" width="12.5" style="6" customWidth="1"/>
    <col min="27" max="27" width="14.69921875" style="6" customWidth="1"/>
    <col min="28" max="28" width="12.8984375" style="6" customWidth="1"/>
    <col min="29" max="16384" width="8.796875" style="1"/>
  </cols>
  <sheetData>
    <row r="2" spans="2:28">
      <c r="B2" s="7" t="s">
        <v>58</v>
      </c>
      <c r="C2" s="7"/>
      <c r="F2" s="47" t="s">
        <v>23</v>
      </c>
      <c r="G2" s="47"/>
      <c r="I2" s="47" t="s">
        <v>29</v>
      </c>
      <c r="J2" s="47"/>
      <c r="L2" s="8" t="s">
        <v>37</v>
      </c>
    </row>
    <row r="3" spans="2:28">
      <c r="B3" s="7" t="s">
        <v>56</v>
      </c>
      <c r="C3" s="7"/>
      <c r="F3" s="9">
        <v>1</v>
      </c>
      <c r="G3" s="6" t="s">
        <v>25</v>
      </c>
      <c r="I3" s="9">
        <v>1</v>
      </c>
      <c r="J3" s="6" t="s">
        <v>30</v>
      </c>
      <c r="L3" s="6" t="s">
        <v>38</v>
      </c>
    </row>
    <row r="4" spans="2:28">
      <c r="B4" s="7" t="s">
        <v>2</v>
      </c>
      <c r="C4" s="7"/>
      <c r="F4" s="9">
        <v>2</v>
      </c>
      <c r="G4" s="6" t="s">
        <v>24</v>
      </c>
      <c r="I4" s="9">
        <v>2</v>
      </c>
      <c r="J4" s="6" t="s">
        <v>31</v>
      </c>
      <c r="L4" s="6" t="s">
        <v>39</v>
      </c>
    </row>
    <row r="5" spans="2:28">
      <c r="F5" s="9">
        <v>3</v>
      </c>
      <c r="G5" s="6" t="s">
        <v>26</v>
      </c>
      <c r="I5" s="9">
        <v>3</v>
      </c>
      <c r="J5" s="6" t="s">
        <v>32</v>
      </c>
      <c r="L5" s="6" t="s">
        <v>40</v>
      </c>
    </row>
    <row r="6" spans="2:28">
      <c r="F6" s="9">
        <v>4</v>
      </c>
      <c r="G6" s="6" t="s">
        <v>27</v>
      </c>
      <c r="I6" s="9">
        <v>4</v>
      </c>
      <c r="J6" s="6" t="s">
        <v>33</v>
      </c>
      <c r="L6" s="6" t="s">
        <v>41</v>
      </c>
    </row>
    <row r="7" spans="2:28">
      <c r="F7" s="9">
        <v>5</v>
      </c>
      <c r="G7" s="6" t="s">
        <v>28</v>
      </c>
      <c r="I7" s="9">
        <v>5</v>
      </c>
      <c r="J7" s="6" t="s">
        <v>34</v>
      </c>
      <c r="L7" s="6" t="s">
        <v>42</v>
      </c>
    </row>
    <row r="8" spans="2:28">
      <c r="L8" s="6" t="s">
        <v>43</v>
      </c>
    </row>
    <row r="10" spans="2:28" ht="16.5" thickBot="1">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row>
    <row r="11" spans="2:28" s="2" customFormat="1" ht="19.5" customHeight="1">
      <c r="B11" s="22"/>
      <c r="C11" s="23"/>
      <c r="D11" s="23"/>
      <c r="E11" s="23"/>
      <c r="F11" s="23"/>
      <c r="G11" s="23"/>
      <c r="H11" s="46" t="s">
        <v>9</v>
      </c>
      <c r="I11" s="46"/>
      <c r="J11" s="46"/>
      <c r="K11" s="46" t="s">
        <v>10</v>
      </c>
      <c r="L11" s="46"/>
      <c r="M11" s="46"/>
      <c r="N11" s="46" t="s">
        <v>14</v>
      </c>
      <c r="O11" s="46"/>
      <c r="P11" s="46"/>
      <c r="Q11" s="23"/>
      <c r="R11" s="23"/>
      <c r="S11" s="23"/>
      <c r="T11" s="23"/>
      <c r="U11" s="23"/>
      <c r="V11" s="23"/>
      <c r="W11" s="23"/>
      <c r="X11" s="23"/>
      <c r="Y11" s="23"/>
      <c r="Z11" s="23"/>
      <c r="AA11" s="23"/>
      <c r="AB11" s="24"/>
    </row>
    <row r="12" spans="2:28" s="3" customFormat="1" ht="48" thickBot="1">
      <c r="B12" s="31" t="s">
        <v>0</v>
      </c>
      <c r="C12" s="32" t="s">
        <v>49</v>
      </c>
      <c r="D12" s="32" t="s">
        <v>1</v>
      </c>
      <c r="E12" s="32" t="s">
        <v>3</v>
      </c>
      <c r="F12" s="32" t="s">
        <v>4</v>
      </c>
      <c r="G12" s="32" t="s">
        <v>5</v>
      </c>
      <c r="H12" s="32" t="s">
        <v>6</v>
      </c>
      <c r="I12" s="32" t="s">
        <v>7</v>
      </c>
      <c r="J12" s="32" t="s">
        <v>8</v>
      </c>
      <c r="K12" s="32" t="s">
        <v>11</v>
      </c>
      <c r="L12" s="32" t="s">
        <v>12</v>
      </c>
      <c r="M12" s="32" t="s">
        <v>13</v>
      </c>
      <c r="N12" s="32" t="s">
        <v>15</v>
      </c>
      <c r="O12" s="32" t="s">
        <v>16</v>
      </c>
      <c r="P12" s="32" t="s">
        <v>17</v>
      </c>
      <c r="Q12" s="32" t="s">
        <v>37</v>
      </c>
      <c r="R12" s="32" t="s">
        <v>18</v>
      </c>
      <c r="S12" s="32" t="s">
        <v>50</v>
      </c>
      <c r="T12" s="32" t="s">
        <v>19</v>
      </c>
      <c r="U12" s="32" t="s">
        <v>44</v>
      </c>
      <c r="V12" s="32" t="s">
        <v>48</v>
      </c>
      <c r="W12" s="32" t="s">
        <v>20</v>
      </c>
      <c r="X12" s="32" t="s">
        <v>21</v>
      </c>
      <c r="Y12" s="32" t="s">
        <v>22</v>
      </c>
      <c r="Z12" s="32" t="s">
        <v>47</v>
      </c>
      <c r="AA12" s="32" t="s">
        <v>45</v>
      </c>
      <c r="AB12" s="33" t="s">
        <v>46</v>
      </c>
    </row>
    <row r="13" spans="2:28" s="4" customFormat="1" ht="47.25">
      <c r="B13" s="48" t="s">
        <v>59</v>
      </c>
      <c r="C13" s="49" t="s">
        <v>61</v>
      </c>
      <c r="D13" s="49" t="s">
        <v>62</v>
      </c>
      <c r="E13" s="37" t="s">
        <v>60</v>
      </c>
      <c r="F13" s="38">
        <v>46225</v>
      </c>
      <c r="G13" s="39" t="s">
        <v>63</v>
      </c>
      <c r="H13" s="23"/>
      <c r="I13" s="23"/>
      <c r="J13" s="23"/>
      <c r="K13" s="23">
        <v>2</v>
      </c>
      <c r="L13" s="23">
        <v>3</v>
      </c>
      <c r="M13" s="23">
        <f>K13*L13</f>
        <v>6</v>
      </c>
      <c r="N13" s="23"/>
      <c r="O13" s="23"/>
      <c r="P13" s="23"/>
      <c r="Q13" s="23" t="s">
        <v>43</v>
      </c>
      <c r="R13" s="37" t="s">
        <v>64</v>
      </c>
      <c r="S13" s="23" t="s">
        <v>51</v>
      </c>
      <c r="T13" s="23" t="s">
        <v>52</v>
      </c>
      <c r="U13" s="23" t="s">
        <v>65</v>
      </c>
      <c r="V13" s="23" t="s">
        <v>57</v>
      </c>
      <c r="W13" s="23" t="s">
        <v>53</v>
      </c>
      <c r="X13" s="23" t="s">
        <v>66</v>
      </c>
      <c r="Y13" s="23" t="s">
        <v>54</v>
      </c>
      <c r="Z13" s="23" t="s">
        <v>67</v>
      </c>
      <c r="AA13" s="37" t="s">
        <v>68</v>
      </c>
      <c r="AB13" s="24" t="s">
        <v>55</v>
      </c>
    </row>
    <row r="14" spans="2:28" s="4" customFormat="1" ht="31.5">
      <c r="B14" s="40"/>
      <c r="C14" s="42"/>
      <c r="D14" s="42"/>
      <c r="E14" s="10" t="s">
        <v>72</v>
      </c>
      <c r="F14" s="11">
        <v>46225</v>
      </c>
      <c r="G14" s="12" t="s">
        <v>63</v>
      </c>
      <c r="H14" s="6"/>
      <c r="I14" s="6"/>
      <c r="J14" s="6"/>
      <c r="K14" s="6">
        <v>2</v>
      </c>
      <c r="L14" s="6">
        <v>3</v>
      </c>
      <c r="M14" s="6">
        <f t="shared" ref="M14:M17" si="0">K14*L14</f>
        <v>6</v>
      </c>
      <c r="N14" s="6"/>
      <c r="O14" s="6"/>
      <c r="P14" s="6"/>
      <c r="Q14" s="6" t="s">
        <v>43</v>
      </c>
      <c r="R14" s="10" t="s">
        <v>64</v>
      </c>
      <c r="S14" s="6" t="s">
        <v>51</v>
      </c>
      <c r="T14" s="6" t="s">
        <v>52</v>
      </c>
      <c r="U14" s="6" t="s">
        <v>65</v>
      </c>
      <c r="V14" s="6" t="s">
        <v>57</v>
      </c>
      <c r="W14" s="6" t="s">
        <v>53</v>
      </c>
      <c r="X14" s="6" t="s">
        <v>66</v>
      </c>
      <c r="Y14" s="6" t="s">
        <v>54</v>
      </c>
      <c r="Z14" s="6" t="s">
        <v>67</v>
      </c>
      <c r="AA14" s="10" t="s">
        <v>68</v>
      </c>
      <c r="AB14" s="25" t="s">
        <v>55</v>
      </c>
    </row>
    <row r="15" spans="2:28" s="4" customFormat="1" ht="31.5">
      <c r="B15" s="40"/>
      <c r="C15" s="42"/>
      <c r="D15" s="42"/>
      <c r="E15" s="10" t="s">
        <v>103</v>
      </c>
      <c r="F15" s="11">
        <v>46225</v>
      </c>
      <c r="G15" s="12" t="s">
        <v>63</v>
      </c>
      <c r="H15" s="6"/>
      <c r="I15" s="6"/>
      <c r="J15" s="6"/>
      <c r="K15" s="6">
        <v>2</v>
      </c>
      <c r="L15" s="6">
        <v>3</v>
      </c>
      <c r="M15" s="6">
        <f t="shared" ref="M15:M16" si="1">K15*L15</f>
        <v>6</v>
      </c>
      <c r="N15" s="6"/>
      <c r="O15" s="6"/>
      <c r="P15" s="6"/>
      <c r="Q15" s="6" t="s">
        <v>43</v>
      </c>
      <c r="R15" s="10" t="s">
        <v>64</v>
      </c>
      <c r="S15" s="6" t="s">
        <v>51</v>
      </c>
      <c r="T15" s="6" t="s">
        <v>52</v>
      </c>
      <c r="U15" s="6" t="s">
        <v>65</v>
      </c>
      <c r="V15" s="6" t="s">
        <v>57</v>
      </c>
      <c r="W15" s="6" t="s">
        <v>53</v>
      </c>
      <c r="X15" s="6" t="s">
        <v>66</v>
      </c>
      <c r="Y15" s="6" t="s">
        <v>54</v>
      </c>
      <c r="Z15" s="6" t="s">
        <v>67</v>
      </c>
      <c r="AA15" s="10" t="s">
        <v>68</v>
      </c>
      <c r="AB15" s="25" t="s">
        <v>55</v>
      </c>
    </row>
    <row r="16" spans="2:28" s="4" customFormat="1" ht="31.5">
      <c r="B16" s="40"/>
      <c r="C16" s="42"/>
      <c r="D16" s="42"/>
      <c r="E16" s="10" t="s">
        <v>89</v>
      </c>
      <c r="F16" s="11">
        <v>46225</v>
      </c>
      <c r="G16" s="12" t="s">
        <v>63</v>
      </c>
      <c r="H16" s="6"/>
      <c r="I16" s="6"/>
      <c r="J16" s="6"/>
      <c r="K16" s="6">
        <v>2</v>
      </c>
      <c r="L16" s="6">
        <v>3</v>
      </c>
      <c r="M16" s="6">
        <f t="shared" si="1"/>
        <v>6</v>
      </c>
      <c r="N16" s="6"/>
      <c r="O16" s="6"/>
      <c r="P16" s="6"/>
      <c r="Q16" s="6" t="s">
        <v>43</v>
      </c>
      <c r="R16" s="10" t="s">
        <v>64</v>
      </c>
      <c r="S16" s="6" t="s">
        <v>51</v>
      </c>
      <c r="T16" s="6" t="s">
        <v>52</v>
      </c>
      <c r="U16" s="6" t="s">
        <v>65</v>
      </c>
      <c r="V16" s="6" t="s">
        <v>57</v>
      </c>
      <c r="W16" s="6" t="s">
        <v>53</v>
      </c>
      <c r="X16" s="6" t="s">
        <v>66</v>
      </c>
      <c r="Y16" s="6" t="s">
        <v>54</v>
      </c>
      <c r="Z16" s="6" t="s">
        <v>67</v>
      </c>
      <c r="AA16" s="10" t="s">
        <v>68</v>
      </c>
      <c r="AB16" s="25" t="s">
        <v>55</v>
      </c>
    </row>
    <row r="17" spans="2:28" s="4" customFormat="1" ht="48" thickBot="1">
      <c r="B17" s="41"/>
      <c r="C17" s="43"/>
      <c r="D17" s="43"/>
      <c r="E17" s="26" t="s">
        <v>73</v>
      </c>
      <c r="F17" s="27">
        <v>46225</v>
      </c>
      <c r="G17" s="28" t="s">
        <v>63</v>
      </c>
      <c r="H17" s="29"/>
      <c r="I17" s="29"/>
      <c r="J17" s="29"/>
      <c r="K17" s="29">
        <v>2</v>
      </c>
      <c r="L17" s="29">
        <v>3</v>
      </c>
      <c r="M17" s="29">
        <f t="shared" si="0"/>
        <v>6</v>
      </c>
      <c r="N17" s="29"/>
      <c r="O17" s="29"/>
      <c r="P17" s="29"/>
      <c r="Q17" s="29" t="s">
        <v>43</v>
      </c>
      <c r="R17" s="26" t="s">
        <v>64</v>
      </c>
      <c r="S17" s="29" t="s">
        <v>51</v>
      </c>
      <c r="T17" s="29" t="s">
        <v>52</v>
      </c>
      <c r="U17" s="29" t="s">
        <v>65</v>
      </c>
      <c r="V17" s="29" t="s">
        <v>57</v>
      </c>
      <c r="W17" s="29" t="s">
        <v>53</v>
      </c>
      <c r="X17" s="29" t="s">
        <v>66</v>
      </c>
      <c r="Y17" s="29" t="s">
        <v>54</v>
      </c>
      <c r="Z17" s="29" t="s">
        <v>67</v>
      </c>
      <c r="AA17" s="26" t="s">
        <v>68</v>
      </c>
      <c r="AB17" s="30" t="s">
        <v>55</v>
      </c>
    </row>
    <row r="18" spans="2:28" ht="47.25">
      <c r="B18" s="48" t="s">
        <v>69</v>
      </c>
      <c r="C18" s="49" t="s">
        <v>70</v>
      </c>
      <c r="D18" s="49" t="s">
        <v>71</v>
      </c>
      <c r="E18" s="37" t="s">
        <v>104</v>
      </c>
      <c r="F18" s="38">
        <v>46225</v>
      </c>
      <c r="G18" s="39" t="s">
        <v>63</v>
      </c>
      <c r="H18" s="23"/>
      <c r="I18" s="23"/>
      <c r="J18" s="23"/>
      <c r="K18" s="23">
        <v>3</v>
      </c>
      <c r="L18" s="23">
        <v>3</v>
      </c>
      <c r="M18" s="23">
        <f t="shared" ref="M18:M27" si="2">K18*L18</f>
        <v>9</v>
      </c>
      <c r="N18" s="23"/>
      <c r="O18" s="23"/>
      <c r="P18" s="23"/>
      <c r="Q18" s="23" t="s">
        <v>43</v>
      </c>
      <c r="R18" s="37" t="s">
        <v>76</v>
      </c>
      <c r="S18" s="23" t="s">
        <v>51</v>
      </c>
      <c r="T18" s="23" t="s">
        <v>79</v>
      </c>
      <c r="U18" s="23" t="s">
        <v>80</v>
      </c>
      <c r="V18" s="23" t="s">
        <v>57</v>
      </c>
      <c r="W18" s="23" t="s">
        <v>53</v>
      </c>
      <c r="X18" s="23" t="s">
        <v>66</v>
      </c>
      <c r="Y18" s="23" t="s">
        <v>54</v>
      </c>
      <c r="Z18" s="23" t="s">
        <v>67</v>
      </c>
      <c r="AA18" s="37" t="s">
        <v>68</v>
      </c>
      <c r="AB18" s="24" t="s">
        <v>55</v>
      </c>
    </row>
    <row r="19" spans="2:28" ht="47.25">
      <c r="B19" s="40"/>
      <c r="C19" s="42"/>
      <c r="D19" s="42"/>
      <c r="E19" s="10" t="s">
        <v>74</v>
      </c>
      <c r="F19" s="11">
        <v>46225</v>
      </c>
      <c r="G19" s="12" t="s">
        <v>63</v>
      </c>
      <c r="K19" s="6">
        <v>3</v>
      </c>
      <c r="L19" s="6">
        <v>3</v>
      </c>
      <c r="M19" s="6">
        <f t="shared" si="2"/>
        <v>9</v>
      </c>
      <c r="Q19" s="6" t="s">
        <v>43</v>
      </c>
      <c r="R19" s="10" t="s">
        <v>78</v>
      </c>
      <c r="S19" s="6" t="s">
        <v>51</v>
      </c>
      <c r="T19" s="6" t="s">
        <v>79</v>
      </c>
      <c r="U19" s="6" t="s">
        <v>80</v>
      </c>
      <c r="V19" s="6" t="s">
        <v>57</v>
      </c>
      <c r="W19" s="6" t="s">
        <v>53</v>
      </c>
      <c r="X19" s="6" t="s">
        <v>66</v>
      </c>
      <c r="Y19" s="6" t="s">
        <v>54</v>
      </c>
      <c r="Z19" s="6" t="s">
        <v>67</v>
      </c>
      <c r="AA19" s="10" t="s">
        <v>68</v>
      </c>
      <c r="AB19" s="25" t="s">
        <v>55</v>
      </c>
    </row>
    <row r="20" spans="2:28" ht="41.25" customHeight="1" thickBot="1">
      <c r="B20" s="41"/>
      <c r="C20" s="43"/>
      <c r="D20" s="43"/>
      <c r="E20" s="26" t="s">
        <v>75</v>
      </c>
      <c r="F20" s="27">
        <v>46225</v>
      </c>
      <c r="G20" s="28" t="s">
        <v>63</v>
      </c>
      <c r="H20" s="29"/>
      <c r="I20" s="29"/>
      <c r="J20" s="29"/>
      <c r="K20" s="29">
        <v>3</v>
      </c>
      <c r="L20" s="29">
        <v>3</v>
      </c>
      <c r="M20" s="29">
        <f t="shared" si="2"/>
        <v>9</v>
      </c>
      <c r="N20" s="29"/>
      <c r="O20" s="29"/>
      <c r="P20" s="29"/>
      <c r="Q20" s="29" t="s">
        <v>43</v>
      </c>
      <c r="R20" s="26" t="s">
        <v>77</v>
      </c>
      <c r="S20" s="29" t="s">
        <v>51</v>
      </c>
      <c r="T20" s="29" t="s">
        <v>79</v>
      </c>
      <c r="U20" s="29" t="s">
        <v>80</v>
      </c>
      <c r="V20" s="29" t="s">
        <v>57</v>
      </c>
      <c r="W20" s="29" t="s">
        <v>53</v>
      </c>
      <c r="X20" s="29" t="s">
        <v>66</v>
      </c>
      <c r="Y20" s="29" t="s">
        <v>54</v>
      </c>
      <c r="Z20" s="29" t="s">
        <v>67</v>
      </c>
      <c r="AA20" s="26" t="s">
        <v>68</v>
      </c>
      <c r="AB20" s="30" t="s">
        <v>55</v>
      </c>
    </row>
    <row r="21" spans="2:28" ht="63">
      <c r="B21" s="48" t="s">
        <v>81</v>
      </c>
      <c r="C21" s="49" t="s">
        <v>90</v>
      </c>
      <c r="D21" s="49" t="s">
        <v>71</v>
      </c>
      <c r="E21" s="37" t="s">
        <v>105</v>
      </c>
      <c r="F21" s="38">
        <v>46225</v>
      </c>
      <c r="G21" s="39" t="s">
        <v>63</v>
      </c>
      <c r="H21" s="23"/>
      <c r="I21" s="23"/>
      <c r="J21" s="23"/>
      <c r="K21" s="23">
        <v>3</v>
      </c>
      <c r="L21" s="23">
        <v>4</v>
      </c>
      <c r="M21" s="23">
        <f t="shared" si="2"/>
        <v>12</v>
      </c>
      <c r="N21" s="23"/>
      <c r="O21" s="23"/>
      <c r="P21" s="23"/>
      <c r="Q21" s="23"/>
      <c r="R21" s="37" t="s">
        <v>76</v>
      </c>
      <c r="S21" s="23" t="s">
        <v>51</v>
      </c>
      <c r="T21" s="23" t="s">
        <v>79</v>
      </c>
      <c r="U21" s="23" t="s">
        <v>80</v>
      </c>
      <c r="V21" s="23" t="s">
        <v>57</v>
      </c>
      <c r="W21" s="23" t="s">
        <v>53</v>
      </c>
      <c r="X21" s="23" t="s">
        <v>66</v>
      </c>
      <c r="Y21" s="23" t="s">
        <v>54</v>
      </c>
      <c r="Z21" s="23" t="s">
        <v>67</v>
      </c>
      <c r="AA21" s="37" t="s">
        <v>68</v>
      </c>
      <c r="AB21" s="24" t="s">
        <v>55</v>
      </c>
    </row>
    <row r="22" spans="2:28" ht="63.75" thickBot="1">
      <c r="B22" s="41"/>
      <c r="C22" s="43"/>
      <c r="D22" s="43"/>
      <c r="E22" s="26" t="s">
        <v>91</v>
      </c>
      <c r="F22" s="27">
        <v>46225</v>
      </c>
      <c r="G22" s="28" t="s">
        <v>63</v>
      </c>
      <c r="H22" s="29"/>
      <c r="I22" s="29"/>
      <c r="J22" s="29"/>
      <c r="K22" s="29">
        <v>3</v>
      </c>
      <c r="L22" s="29">
        <v>4</v>
      </c>
      <c r="M22" s="29">
        <f t="shared" si="2"/>
        <v>12</v>
      </c>
      <c r="N22" s="29"/>
      <c r="O22" s="29"/>
      <c r="P22" s="29"/>
      <c r="Q22" s="29" t="s">
        <v>43</v>
      </c>
      <c r="R22" s="26" t="s">
        <v>77</v>
      </c>
      <c r="S22" s="29" t="s">
        <v>51</v>
      </c>
      <c r="T22" s="29" t="s">
        <v>79</v>
      </c>
      <c r="U22" s="29" t="s">
        <v>80</v>
      </c>
      <c r="V22" s="29" t="s">
        <v>57</v>
      </c>
      <c r="W22" s="29" t="s">
        <v>53</v>
      </c>
      <c r="X22" s="29" t="s">
        <v>66</v>
      </c>
      <c r="Y22" s="29" t="s">
        <v>54</v>
      </c>
      <c r="Z22" s="29" t="s">
        <v>67</v>
      </c>
      <c r="AA22" s="26" t="s">
        <v>68</v>
      </c>
      <c r="AB22" s="30" t="s">
        <v>55</v>
      </c>
    </row>
    <row r="23" spans="2:28" ht="31.5" customHeight="1" thickBot="1">
      <c r="B23" s="48" t="s">
        <v>82</v>
      </c>
      <c r="C23" s="49" t="s">
        <v>92</v>
      </c>
      <c r="D23" s="50" t="s">
        <v>83</v>
      </c>
      <c r="E23" s="37" t="s">
        <v>106</v>
      </c>
      <c r="F23" s="38">
        <v>46225</v>
      </c>
      <c r="G23" s="39" t="s">
        <v>63</v>
      </c>
      <c r="H23" s="23"/>
      <c r="I23" s="23"/>
      <c r="J23" s="23"/>
      <c r="K23" s="23">
        <v>2</v>
      </c>
      <c r="L23" s="23">
        <v>4</v>
      </c>
      <c r="M23" s="23">
        <f t="shared" si="2"/>
        <v>8</v>
      </c>
      <c r="N23" s="23"/>
      <c r="O23" s="23"/>
      <c r="P23" s="23"/>
      <c r="Q23" s="23" t="s">
        <v>43</v>
      </c>
      <c r="R23" s="37" t="s">
        <v>84</v>
      </c>
      <c r="S23" s="23" t="s">
        <v>51</v>
      </c>
      <c r="T23" s="23" t="s">
        <v>79</v>
      </c>
      <c r="U23" s="37" t="s">
        <v>85</v>
      </c>
      <c r="V23" s="23" t="s">
        <v>57</v>
      </c>
      <c r="W23" s="23" t="s">
        <v>53</v>
      </c>
      <c r="X23" s="23" t="s">
        <v>66</v>
      </c>
      <c r="Y23" s="23" t="s">
        <v>54</v>
      </c>
      <c r="Z23" s="23" t="s">
        <v>67</v>
      </c>
      <c r="AA23" s="37" t="s">
        <v>68</v>
      </c>
      <c r="AB23" s="24" t="s">
        <v>55</v>
      </c>
    </row>
    <row r="24" spans="2:28" ht="63.75" thickBot="1">
      <c r="B24" s="41"/>
      <c r="C24" s="43"/>
      <c r="D24" s="45"/>
      <c r="E24" s="26" t="s">
        <v>107</v>
      </c>
      <c r="F24" s="27">
        <v>46225</v>
      </c>
      <c r="G24" s="28" t="s">
        <v>63</v>
      </c>
      <c r="H24" s="29"/>
      <c r="I24" s="29"/>
      <c r="J24" s="29"/>
      <c r="K24" s="29">
        <v>2</v>
      </c>
      <c r="L24" s="29">
        <v>4</v>
      </c>
      <c r="M24" s="29">
        <f t="shared" ref="M24" si="3">K24*L24</f>
        <v>8</v>
      </c>
      <c r="N24" s="29"/>
      <c r="O24" s="29"/>
      <c r="P24" s="29"/>
      <c r="Q24" s="23" t="s">
        <v>43</v>
      </c>
      <c r="R24" s="37" t="s">
        <v>84</v>
      </c>
      <c r="S24" s="23" t="s">
        <v>51</v>
      </c>
      <c r="T24" s="23" t="s">
        <v>79</v>
      </c>
      <c r="U24" s="37" t="s">
        <v>85</v>
      </c>
      <c r="V24" s="23" t="s">
        <v>57</v>
      </c>
      <c r="W24" s="23" t="s">
        <v>53</v>
      </c>
      <c r="X24" s="23" t="s">
        <v>66</v>
      </c>
      <c r="Y24" s="23" t="s">
        <v>54</v>
      </c>
      <c r="Z24" s="23" t="s">
        <v>67</v>
      </c>
      <c r="AA24" s="37" t="s">
        <v>68</v>
      </c>
      <c r="AB24" s="24" t="s">
        <v>55</v>
      </c>
    </row>
    <row r="25" spans="2:28" ht="47.25" customHeight="1">
      <c r="B25" s="40" t="s">
        <v>86</v>
      </c>
      <c r="C25" s="42" t="s">
        <v>102</v>
      </c>
      <c r="D25" s="44" t="s">
        <v>87</v>
      </c>
      <c r="E25" s="21" t="s">
        <v>93</v>
      </c>
      <c r="F25" s="34">
        <v>46225</v>
      </c>
      <c r="G25" s="35" t="s">
        <v>63</v>
      </c>
      <c r="H25" s="20"/>
      <c r="I25" s="20"/>
      <c r="J25" s="20"/>
      <c r="K25" s="20">
        <v>2</v>
      </c>
      <c r="L25" s="20">
        <v>4</v>
      </c>
      <c r="M25" s="20">
        <f t="shared" si="2"/>
        <v>8</v>
      </c>
      <c r="N25" s="20"/>
      <c r="O25" s="20"/>
      <c r="P25" s="20"/>
      <c r="Q25" s="20" t="s">
        <v>43</v>
      </c>
      <c r="R25" s="21" t="s">
        <v>88</v>
      </c>
      <c r="S25" s="20" t="s">
        <v>51</v>
      </c>
      <c r="T25" s="20" t="s">
        <v>79</v>
      </c>
      <c r="U25" s="21" t="s">
        <v>85</v>
      </c>
      <c r="V25" s="20" t="s">
        <v>57</v>
      </c>
      <c r="W25" s="20" t="s">
        <v>53</v>
      </c>
      <c r="X25" s="20" t="s">
        <v>66</v>
      </c>
      <c r="Y25" s="20" t="s">
        <v>54</v>
      </c>
      <c r="Z25" s="20" t="s">
        <v>67</v>
      </c>
      <c r="AA25" s="21" t="s">
        <v>68</v>
      </c>
      <c r="AB25" s="36" t="s">
        <v>55</v>
      </c>
    </row>
    <row r="26" spans="2:28" ht="39.75" customHeight="1">
      <c r="B26" s="40"/>
      <c r="C26" s="42"/>
      <c r="D26" s="44"/>
      <c r="E26" s="10" t="s">
        <v>94</v>
      </c>
      <c r="F26" s="11">
        <v>46225</v>
      </c>
      <c r="G26" s="12" t="s">
        <v>63</v>
      </c>
      <c r="K26" s="6">
        <v>2</v>
      </c>
      <c r="L26" s="6">
        <v>4</v>
      </c>
      <c r="M26" s="6">
        <f t="shared" ref="M26" si="4">K26*L26</f>
        <v>8</v>
      </c>
      <c r="Q26" s="6" t="s">
        <v>43</v>
      </c>
      <c r="R26" s="10" t="s">
        <v>88</v>
      </c>
      <c r="S26" s="6" t="s">
        <v>51</v>
      </c>
      <c r="T26" s="6" t="s">
        <v>79</v>
      </c>
      <c r="U26" s="10" t="s">
        <v>85</v>
      </c>
      <c r="V26" s="6" t="s">
        <v>57</v>
      </c>
      <c r="W26" s="6" t="s">
        <v>53</v>
      </c>
      <c r="X26" s="6" t="s">
        <v>66</v>
      </c>
      <c r="Y26" s="6" t="s">
        <v>54</v>
      </c>
      <c r="Z26" s="6" t="s">
        <v>67</v>
      </c>
      <c r="AA26" s="10" t="s">
        <v>68</v>
      </c>
      <c r="AB26" s="25" t="s">
        <v>55</v>
      </c>
    </row>
    <row r="27" spans="2:28" ht="47.25">
      <c r="B27" s="40"/>
      <c r="C27" s="42"/>
      <c r="D27" s="44"/>
      <c r="E27" s="10" t="s">
        <v>101</v>
      </c>
      <c r="F27" s="11">
        <v>46225</v>
      </c>
      <c r="G27" s="12" t="s">
        <v>63</v>
      </c>
      <c r="K27" s="6">
        <v>2</v>
      </c>
      <c r="L27" s="6">
        <v>4</v>
      </c>
      <c r="M27" s="6">
        <f t="shared" si="2"/>
        <v>8</v>
      </c>
      <c r="Q27" s="6" t="s">
        <v>43</v>
      </c>
      <c r="R27" s="10" t="s">
        <v>88</v>
      </c>
      <c r="S27" s="6" t="s">
        <v>51</v>
      </c>
      <c r="T27" s="6" t="s">
        <v>79</v>
      </c>
      <c r="U27" s="10" t="s">
        <v>85</v>
      </c>
      <c r="V27" s="6" t="s">
        <v>57</v>
      </c>
      <c r="W27" s="6" t="s">
        <v>53</v>
      </c>
      <c r="X27" s="6" t="s">
        <v>66</v>
      </c>
      <c r="Y27" s="6" t="s">
        <v>54</v>
      </c>
      <c r="Z27" s="6" t="s">
        <v>67</v>
      </c>
      <c r="AA27" s="10" t="s">
        <v>68</v>
      </c>
      <c r="AB27" s="25" t="s">
        <v>55</v>
      </c>
    </row>
    <row r="28" spans="2:28" ht="31.5">
      <c r="B28" s="40"/>
      <c r="C28" s="42"/>
      <c r="D28" s="44"/>
      <c r="E28" s="10" t="s">
        <v>95</v>
      </c>
      <c r="F28" s="11">
        <v>46225</v>
      </c>
      <c r="G28" s="12" t="s">
        <v>63</v>
      </c>
      <c r="K28" s="6">
        <v>2</v>
      </c>
      <c r="L28" s="6">
        <v>4</v>
      </c>
      <c r="M28" s="6">
        <f t="shared" ref="M28:M30" si="5">K28*L28</f>
        <v>8</v>
      </c>
      <c r="Q28" s="6" t="s">
        <v>43</v>
      </c>
      <c r="R28" s="10" t="s">
        <v>88</v>
      </c>
      <c r="S28" s="6" t="s">
        <v>51</v>
      </c>
      <c r="T28" s="6" t="s">
        <v>79</v>
      </c>
      <c r="U28" s="10" t="s">
        <v>85</v>
      </c>
      <c r="V28" s="6" t="s">
        <v>57</v>
      </c>
      <c r="W28" s="6" t="s">
        <v>53</v>
      </c>
      <c r="X28" s="6" t="s">
        <v>66</v>
      </c>
      <c r="Y28" s="6" t="s">
        <v>54</v>
      </c>
      <c r="Z28" s="6" t="s">
        <v>67</v>
      </c>
      <c r="AA28" s="10" t="s">
        <v>68</v>
      </c>
      <c r="AB28" s="25" t="s">
        <v>55</v>
      </c>
    </row>
    <row r="29" spans="2:28" ht="31.5">
      <c r="B29" s="40"/>
      <c r="C29" s="42"/>
      <c r="D29" s="44"/>
      <c r="E29" s="10" t="s">
        <v>96</v>
      </c>
      <c r="F29" s="11">
        <v>46225</v>
      </c>
      <c r="G29" s="12" t="s">
        <v>63</v>
      </c>
      <c r="K29" s="6">
        <v>2</v>
      </c>
      <c r="L29" s="6">
        <v>4</v>
      </c>
      <c r="M29" s="6">
        <f t="shared" si="5"/>
        <v>8</v>
      </c>
      <c r="Q29" s="6" t="s">
        <v>43</v>
      </c>
      <c r="R29" s="10" t="s">
        <v>88</v>
      </c>
      <c r="S29" s="6" t="s">
        <v>51</v>
      </c>
      <c r="T29" s="6" t="s">
        <v>79</v>
      </c>
      <c r="U29" s="10" t="s">
        <v>85</v>
      </c>
      <c r="V29" s="6" t="s">
        <v>57</v>
      </c>
      <c r="W29" s="6" t="s">
        <v>53</v>
      </c>
      <c r="X29" s="6" t="s">
        <v>66</v>
      </c>
      <c r="Y29" s="6" t="s">
        <v>54</v>
      </c>
      <c r="Z29" s="6" t="s">
        <v>67</v>
      </c>
      <c r="AA29" s="10" t="s">
        <v>68</v>
      </c>
      <c r="AB29" s="25" t="s">
        <v>55</v>
      </c>
    </row>
    <row r="30" spans="2:28" ht="31.5">
      <c r="B30" s="40"/>
      <c r="C30" s="42"/>
      <c r="D30" s="44"/>
      <c r="E30" s="6" t="s">
        <v>97</v>
      </c>
      <c r="F30" s="11">
        <v>46225</v>
      </c>
      <c r="G30" s="12" t="s">
        <v>63</v>
      </c>
      <c r="K30" s="6">
        <v>2</v>
      </c>
      <c r="L30" s="6">
        <v>4</v>
      </c>
      <c r="M30" s="6">
        <f t="shared" si="5"/>
        <v>8</v>
      </c>
      <c r="Q30" s="6" t="s">
        <v>43</v>
      </c>
      <c r="R30" s="10" t="s">
        <v>88</v>
      </c>
      <c r="S30" s="6" t="s">
        <v>51</v>
      </c>
      <c r="T30" s="6" t="s">
        <v>79</v>
      </c>
      <c r="U30" s="10" t="s">
        <v>85</v>
      </c>
      <c r="V30" s="6" t="s">
        <v>57</v>
      </c>
      <c r="W30" s="6" t="s">
        <v>53</v>
      </c>
      <c r="X30" s="6" t="s">
        <v>66</v>
      </c>
      <c r="Y30" s="6" t="s">
        <v>54</v>
      </c>
      <c r="Z30" s="6" t="s">
        <v>67</v>
      </c>
      <c r="AA30" s="10" t="s">
        <v>68</v>
      </c>
      <c r="AB30" s="25" t="s">
        <v>55</v>
      </c>
    </row>
    <row r="31" spans="2:28" ht="31.5">
      <c r="B31" s="40"/>
      <c r="C31" s="42"/>
      <c r="D31" s="44"/>
      <c r="E31" s="6" t="s">
        <v>98</v>
      </c>
      <c r="F31" s="11">
        <v>46225</v>
      </c>
      <c r="G31" s="12" t="s">
        <v>63</v>
      </c>
      <c r="K31" s="6">
        <v>2</v>
      </c>
      <c r="L31" s="6">
        <v>4</v>
      </c>
      <c r="M31" s="6">
        <f t="shared" ref="M31:M33" si="6">K31*L31</f>
        <v>8</v>
      </c>
      <c r="Q31" s="6" t="s">
        <v>43</v>
      </c>
      <c r="R31" s="10" t="s">
        <v>88</v>
      </c>
      <c r="S31" s="6" t="s">
        <v>51</v>
      </c>
      <c r="T31" s="6" t="s">
        <v>79</v>
      </c>
      <c r="U31" s="10" t="s">
        <v>85</v>
      </c>
      <c r="V31" s="6" t="s">
        <v>57</v>
      </c>
      <c r="W31" s="6" t="s">
        <v>53</v>
      </c>
      <c r="X31" s="6" t="s">
        <v>66</v>
      </c>
      <c r="Y31" s="6" t="s">
        <v>54</v>
      </c>
      <c r="Z31" s="6" t="s">
        <v>67</v>
      </c>
      <c r="AA31" s="10" t="s">
        <v>68</v>
      </c>
      <c r="AB31" s="25" t="s">
        <v>55</v>
      </c>
    </row>
    <row r="32" spans="2:28" ht="31.5">
      <c r="B32" s="40"/>
      <c r="C32" s="42"/>
      <c r="D32" s="44"/>
      <c r="E32" s="10" t="s">
        <v>99</v>
      </c>
      <c r="F32" s="11">
        <v>46225</v>
      </c>
      <c r="G32" s="12" t="s">
        <v>63</v>
      </c>
      <c r="K32" s="6">
        <v>2</v>
      </c>
      <c r="L32" s="6">
        <v>4</v>
      </c>
      <c r="M32" s="6">
        <f t="shared" si="6"/>
        <v>8</v>
      </c>
      <c r="Q32" s="6" t="s">
        <v>43</v>
      </c>
      <c r="R32" s="10" t="s">
        <v>88</v>
      </c>
      <c r="S32" s="6" t="s">
        <v>51</v>
      </c>
      <c r="T32" s="6" t="s">
        <v>79</v>
      </c>
      <c r="U32" s="10" t="s">
        <v>85</v>
      </c>
      <c r="V32" s="6" t="s">
        <v>57</v>
      </c>
      <c r="W32" s="6" t="s">
        <v>53</v>
      </c>
      <c r="X32" s="6" t="s">
        <v>66</v>
      </c>
      <c r="Y32" s="6" t="s">
        <v>54</v>
      </c>
      <c r="Z32" s="6" t="s">
        <v>67</v>
      </c>
      <c r="AA32" s="10" t="s">
        <v>68</v>
      </c>
      <c r="AB32" s="25" t="s">
        <v>55</v>
      </c>
    </row>
    <row r="33" spans="2:28" ht="32.25" thickBot="1">
      <c r="B33" s="41"/>
      <c r="C33" s="43"/>
      <c r="D33" s="45"/>
      <c r="E33" s="26" t="s">
        <v>100</v>
      </c>
      <c r="F33" s="27">
        <v>46225</v>
      </c>
      <c r="G33" s="28" t="s">
        <v>63</v>
      </c>
      <c r="H33" s="29"/>
      <c r="I33" s="29"/>
      <c r="J33" s="29"/>
      <c r="K33" s="29">
        <v>2</v>
      </c>
      <c r="L33" s="29">
        <v>4</v>
      </c>
      <c r="M33" s="29">
        <f t="shared" si="6"/>
        <v>8</v>
      </c>
      <c r="N33" s="29"/>
      <c r="O33" s="29"/>
      <c r="P33" s="29"/>
      <c r="Q33" s="29" t="s">
        <v>43</v>
      </c>
      <c r="R33" s="26" t="s">
        <v>88</v>
      </c>
      <c r="S33" s="29" t="s">
        <v>51</v>
      </c>
      <c r="T33" s="29" t="s">
        <v>79</v>
      </c>
      <c r="U33" s="26" t="s">
        <v>85</v>
      </c>
      <c r="V33" s="29" t="s">
        <v>57</v>
      </c>
      <c r="W33" s="29" t="s">
        <v>53</v>
      </c>
      <c r="X33" s="29" t="s">
        <v>66</v>
      </c>
      <c r="Y33" s="29" t="s">
        <v>54</v>
      </c>
      <c r="Z33" s="29" t="s">
        <v>67</v>
      </c>
      <c r="AA33" s="26" t="s">
        <v>68</v>
      </c>
      <c r="AB33" s="30" t="s">
        <v>55</v>
      </c>
    </row>
    <row r="34" spans="2:28">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row>
  </sheetData>
  <mergeCells count="20">
    <mergeCell ref="N11:P11"/>
    <mergeCell ref="F2:G2"/>
    <mergeCell ref="I2:J2"/>
    <mergeCell ref="B13:B17"/>
    <mergeCell ref="C13:C17"/>
    <mergeCell ref="D13:D17"/>
    <mergeCell ref="B25:B33"/>
    <mergeCell ref="C25:C33"/>
    <mergeCell ref="D25:D33"/>
    <mergeCell ref="H11:J11"/>
    <mergeCell ref="K11:M11"/>
    <mergeCell ref="D18:D20"/>
    <mergeCell ref="C18:C20"/>
    <mergeCell ref="B18:B20"/>
    <mergeCell ref="D21:D22"/>
    <mergeCell ref="C21:C22"/>
    <mergeCell ref="B21:B22"/>
    <mergeCell ref="C23:C24"/>
    <mergeCell ref="B23:B24"/>
    <mergeCell ref="D23:D24"/>
  </mergeCells>
  <conditionalFormatting sqref="J13:J23 P13:P24 M13:M23 M25 M27">
    <cfRule type="cellIs" dxfId="14" priority="19" operator="greaterThanOrEqual">
      <formula>20</formula>
    </cfRule>
    <cfRule type="cellIs" dxfId="13" priority="20" operator="between">
      <formula>11</formula>
      <formula>19</formula>
    </cfRule>
    <cfRule type="cellIs" dxfId="12" priority="21" operator="between">
      <formula>1</formula>
      <formula>10</formula>
    </cfRule>
  </conditionalFormatting>
  <conditionalFormatting sqref="J24 M24">
    <cfRule type="cellIs" dxfId="11" priority="10" operator="greaterThanOrEqual">
      <formula>20</formula>
    </cfRule>
    <cfRule type="cellIs" dxfId="10" priority="11" operator="between">
      <formula>11</formula>
      <formula>19</formula>
    </cfRule>
    <cfRule type="cellIs" dxfId="9" priority="12" operator="between">
      <formula>1</formula>
      <formula>10</formula>
    </cfRule>
  </conditionalFormatting>
  <conditionalFormatting sqref="M26">
    <cfRule type="cellIs" dxfId="8" priority="7" operator="greaterThanOrEqual">
      <formula>20</formula>
    </cfRule>
    <cfRule type="cellIs" dxfId="7" priority="8" operator="between">
      <formula>11</formula>
      <formula>19</formula>
    </cfRule>
    <cfRule type="cellIs" dxfId="6" priority="9" operator="between">
      <formula>1</formula>
      <formula>10</formula>
    </cfRule>
  </conditionalFormatting>
  <conditionalFormatting sqref="M28:M30">
    <cfRule type="cellIs" dxfId="5" priority="4" operator="greaterThanOrEqual">
      <formula>20</formula>
    </cfRule>
    <cfRule type="cellIs" dxfId="4" priority="5" operator="between">
      <formula>11</formula>
      <formula>19</formula>
    </cfRule>
    <cfRule type="cellIs" dxfId="3" priority="6" operator="between">
      <formula>1</formula>
      <formula>10</formula>
    </cfRule>
  </conditionalFormatting>
  <conditionalFormatting sqref="M31:M33">
    <cfRule type="cellIs" dxfId="2" priority="1" operator="greaterThanOrEqual">
      <formula>20</formula>
    </cfRule>
    <cfRule type="cellIs" dxfId="1" priority="2" operator="between">
      <formula>11</formula>
      <formula>19</formula>
    </cfRule>
    <cfRule type="cellIs" dxfId="0" priority="3" operator="between">
      <formula>1</formula>
      <formula>10</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14:formula1>
            <xm:f>Lookups!$B$3:$B$7</xm:f>
          </x14:formula1>
          <xm:sqref>N13:N24 H13:H24 K13:K33</xm:sqref>
        </x14:dataValidation>
        <x14:dataValidation type="list" allowBlank="1" showInputMessage="1" showErrorMessage="1">
          <x14:formula1>
            <xm:f>Lookups!$E$3:$E$7</xm:f>
          </x14:formula1>
          <xm:sqref>O13:O24 I13:I24 L13:L33</xm:sqref>
        </x14:dataValidation>
        <x14:dataValidation type="list" allowBlank="1" showInputMessage="1" showErrorMessage="1">
          <x14:formula1>
            <xm:f>Lookups!$I$3:$I$8</xm:f>
          </x14:formula1>
          <xm:sqref>Q13:Q33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9"/>
  <sheetViews>
    <sheetView workbookViewId="0">
      <selection activeCell="F11" sqref="F11"/>
    </sheetView>
  </sheetViews>
  <sheetFormatPr defaultRowHeight="18.75"/>
  <cols>
    <col min="2" max="2" width="13.296875" style="5" customWidth="1"/>
    <col min="3" max="3" width="12.3984375" style="5" customWidth="1"/>
    <col min="4" max="4" width="10" style="5" customWidth="1"/>
    <col min="5" max="5" width="5.19921875" style="5" customWidth="1"/>
    <col min="6" max="6" width="10.59765625" style="5" customWidth="1"/>
    <col min="7" max="8" width="5.19921875" style="5" customWidth="1"/>
    <col min="9" max="9" width="14.3984375" style="5" customWidth="1"/>
  </cols>
  <sheetData>
    <row r="2" spans="2:9">
      <c r="B2" s="17" t="s">
        <v>23</v>
      </c>
      <c r="C2" s="17"/>
      <c r="D2" s="17"/>
      <c r="E2" s="17" t="s">
        <v>29</v>
      </c>
      <c r="F2" s="17"/>
      <c r="G2" s="17"/>
      <c r="H2" s="17"/>
      <c r="I2" s="17" t="s">
        <v>37</v>
      </c>
    </row>
    <row r="3" spans="2:9">
      <c r="B3" s="17">
        <v>1</v>
      </c>
      <c r="C3" s="17" t="s">
        <v>25</v>
      </c>
      <c r="D3" s="17"/>
      <c r="E3" s="17">
        <v>1</v>
      </c>
      <c r="F3" s="17" t="s">
        <v>30</v>
      </c>
      <c r="G3" s="17"/>
      <c r="H3" s="17"/>
      <c r="I3" s="17" t="s">
        <v>38</v>
      </c>
    </row>
    <row r="4" spans="2:9">
      <c r="B4" s="17">
        <v>2</v>
      </c>
      <c r="C4" s="17" t="s">
        <v>24</v>
      </c>
      <c r="D4" s="17"/>
      <c r="E4" s="17">
        <v>2</v>
      </c>
      <c r="F4" s="17" t="s">
        <v>31</v>
      </c>
      <c r="G4" s="17"/>
      <c r="H4" s="17"/>
      <c r="I4" s="17" t="s">
        <v>39</v>
      </c>
    </row>
    <row r="5" spans="2:9">
      <c r="B5" s="17">
        <v>3</v>
      </c>
      <c r="C5" s="17" t="s">
        <v>26</v>
      </c>
      <c r="D5" s="17"/>
      <c r="E5" s="17">
        <v>3</v>
      </c>
      <c r="F5" s="17" t="s">
        <v>32</v>
      </c>
      <c r="G5" s="17"/>
      <c r="H5" s="17"/>
      <c r="I5" s="17" t="s">
        <v>40</v>
      </c>
    </row>
    <row r="6" spans="2:9">
      <c r="B6" s="17">
        <v>4</v>
      </c>
      <c r="C6" s="17" t="s">
        <v>27</v>
      </c>
      <c r="D6" s="17"/>
      <c r="E6" s="17">
        <v>4</v>
      </c>
      <c r="F6" s="17" t="s">
        <v>33</v>
      </c>
      <c r="G6" s="17"/>
      <c r="H6" s="17"/>
      <c r="I6" s="17" t="s">
        <v>41</v>
      </c>
    </row>
    <row r="7" spans="2:9">
      <c r="B7" s="17">
        <v>5</v>
      </c>
      <c r="C7" s="17" t="s">
        <v>28</v>
      </c>
      <c r="D7" s="17"/>
      <c r="E7" s="17">
        <v>5</v>
      </c>
      <c r="F7" s="17" t="s">
        <v>34</v>
      </c>
      <c r="G7" s="17"/>
      <c r="H7" s="17"/>
      <c r="I7" s="17" t="s">
        <v>42</v>
      </c>
    </row>
    <row r="8" spans="2:9">
      <c r="B8" s="17"/>
      <c r="C8" s="17"/>
      <c r="D8" s="17"/>
      <c r="E8" s="17"/>
      <c r="F8" s="17"/>
      <c r="G8" s="17"/>
      <c r="H8" s="17"/>
      <c r="I8" s="17" t="s">
        <v>43</v>
      </c>
    </row>
    <row r="9" spans="2:9" ht="19.5" thickBot="1"/>
    <row r="10" spans="2:9" ht="19.5" thickBot="1">
      <c r="I10" s="18"/>
    </row>
    <row r="14" spans="2:9" ht="14.25" customHeight="1">
      <c r="C14" s="51" t="s">
        <v>35</v>
      </c>
      <c r="D14" s="13">
        <v>5</v>
      </c>
      <c r="E14" s="14">
        <v>10</v>
      </c>
      <c r="F14" s="14">
        <v>15</v>
      </c>
      <c r="G14" s="15">
        <v>20</v>
      </c>
      <c r="H14" s="15">
        <v>25</v>
      </c>
    </row>
    <row r="15" spans="2:9" ht="14.25" customHeight="1">
      <c r="C15" s="51"/>
      <c r="D15" s="13">
        <v>4</v>
      </c>
      <c r="E15" s="13">
        <v>8</v>
      </c>
      <c r="F15" s="14">
        <v>12</v>
      </c>
      <c r="G15" s="14">
        <v>16</v>
      </c>
      <c r="H15" s="15">
        <v>20</v>
      </c>
    </row>
    <row r="16" spans="2:9" ht="14.25" customHeight="1">
      <c r="C16" s="51"/>
      <c r="D16" s="13">
        <v>3</v>
      </c>
      <c r="E16" s="13">
        <v>6</v>
      </c>
      <c r="F16" s="13">
        <v>9</v>
      </c>
      <c r="G16" s="14">
        <v>12</v>
      </c>
      <c r="H16" s="14">
        <v>15</v>
      </c>
    </row>
    <row r="17" spans="3:8" ht="14.25" customHeight="1">
      <c r="C17" s="51"/>
      <c r="D17" s="13">
        <v>2</v>
      </c>
      <c r="E17" s="13">
        <v>4</v>
      </c>
      <c r="F17" s="13">
        <v>6</v>
      </c>
      <c r="G17" s="13">
        <v>8</v>
      </c>
      <c r="H17" s="14">
        <v>10</v>
      </c>
    </row>
    <row r="18" spans="3:8" ht="14.25" customHeight="1">
      <c r="C18" s="51"/>
      <c r="D18" s="13">
        <v>1</v>
      </c>
      <c r="E18" s="13">
        <v>2</v>
      </c>
      <c r="F18" s="13">
        <v>3</v>
      </c>
      <c r="G18" s="13">
        <v>4</v>
      </c>
      <c r="H18" s="13">
        <v>5</v>
      </c>
    </row>
    <row r="19" spans="3:8" ht="14.25" customHeight="1">
      <c r="C19" s="16"/>
      <c r="D19" s="52" t="s">
        <v>36</v>
      </c>
      <c r="E19" s="52"/>
      <c r="F19" s="52"/>
      <c r="G19" s="52"/>
      <c r="H19" s="52"/>
    </row>
  </sheetData>
  <mergeCells count="2">
    <mergeCell ref="C14:C18"/>
    <mergeCell ref="D19:H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Risk Register</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Taylor</dc:creator>
  <cp:lastModifiedBy>Bright Oduro-Nimo</cp:lastModifiedBy>
  <dcterms:created xsi:type="dcterms:W3CDTF">2022-02-11T14:51:02Z</dcterms:created>
  <dcterms:modified xsi:type="dcterms:W3CDTF">2026-07-24T13:22:12Z</dcterms:modified>
</cp:coreProperties>
</file>
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odro\Desktop\Risk Register App\"/>
    </mc:Choice>
  </mc:AlternateContent>
  <xr:revisionPtr revIDLastSave="0" documentId="13_ncr:1_{7C8A5702-B542-49D7-87C3-31B649F3BA11}" xr6:coauthVersionLast="47" xr6:coauthVersionMax="47" xr10:uidLastSave="{00000000-0000-0000-0000-000000000000}"/>
  <bookViews>
    <workbookView xWindow="-110" yWindow="-110" windowWidth="22620" windowHeight="13500" xr2:uid="{00000000-000D-0000-FFFF-FFFF00000000}"/>
  </bookViews>
  <sheets>
    <sheet name="Risk Register" sheetId="2" r:id="rId1"/>
    <sheet name="Lookup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2" l="1"/>
  <c r="J14" i="2"/>
  <c r="M14" i="2"/>
  <c r="P14" i="2"/>
  <c r="J15" i="2"/>
  <c r="M15" i="2"/>
  <c r="P15" i="2"/>
  <c r="J16" i="2"/>
  <c r="M16" i="2"/>
  <c r="P16" i="2"/>
  <c r="J17" i="2"/>
  <c r="M17" i="2"/>
  <c r="P17" i="2"/>
  <c r="J18" i="2"/>
  <c r="M18" i="2"/>
  <c r="P18" i="2"/>
  <c r="J19" i="2"/>
  <c r="M19" i="2"/>
  <c r="P19" i="2"/>
  <c r="J20" i="2"/>
  <c r="M20" i="2"/>
  <c r="P20" i="2"/>
  <c r="P13" i="2"/>
  <c r="M13" i="2"/>
</calcChain>
</file>

<file path=xl/sharedStrings.xml><?xml version="1.0" encoding="utf-8"?>
<sst xmlns="http://schemas.openxmlformats.org/spreadsheetml/2006/main" count="138" uniqueCount="109">
  <si>
    <t>Risk ID</t>
  </si>
  <si>
    <t>Risk Name</t>
  </si>
  <si>
    <t>Date Updated</t>
  </si>
  <si>
    <t>Risk Description</t>
  </si>
  <si>
    <t>Date Captured</t>
  </si>
  <si>
    <t>Risk Owner</t>
  </si>
  <si>
    <t>Pre-Mitigation Impact</t>
  </si>
  <si>
    <t>Pre-Mitigation Likelihood</t>
  </si>
  <si>
    <t>Pre-Mitigation Score</t>
  </si>
  <si>
    <t>Pre Mitigation Scores</t>
  </si>
  <si>
    <t>Current Scores</t>
  </si>
  <si>
    <t>Current Impact</t>
  </si>
  <si>
    <t>Current Likelihood</t>
  </si>
  <si>
    <t>Current Score</t>
  </si>
  <si>
    <t>Post Mitigation Scores</t>
  </si>
  <si>
    <t>Post-Mitigation Impact</t>
  </si>
  <si>
    <t>Post-Mitigation Likelihood</t>
  </si>
  <si>
    <t>Post-Mitigation Score</t>
  </si>
  <si>
    <t>Mitigation Plan / Actions</t>
  </si>
  <si>
    <t>Risk Proximity</t>
  </si>
  <si>
    <t>Escalation Level</t>
  </si>
  <si>
    <t>Last Review Date</t>
  </si>
  <si>
    <t>Next Review Date</t>
  </si>
  <si>
    <t>Risk Impact</t>
  </si>
  <si>
    <t>Minor</t>
  </si>
  <si>
    <t>Very Minor</t>
  </si>
  <si>
    <t>Moderate</t>
  </si>
  <si>
    <t>Significant</t>
  </si>
  <si>
    <t>Catastrophic</t>
  </si>
  <si>
    <t>Risk Likelihood</t>
  </si>
  <si>
    <t>1 - 20%</t>
  </si>
  <si>
    <t>21 - 40%</t>
  </si>
  <si>
    <t>41 - 60%</t>
  </si>
  <si>
    <t>61 - 80%</t>
  </si>
  <si>
    <t>81 - 99%</t>
  </si>
  <si>
    <t>Impact</t>
  </si>
  <si>
    <t>Likelihood</t>
  </si>
  <si>
    <t>Risk Response</t>
  </si>
  <si>
    <t>Avoid</t>
  </si>
  <si>
    <t>Reduce</t>
  </si>
  <si>
    <t>Fallback</t>
  </si>
  <si>
    <t>Transfer</t>
  </si>
  <si>
    <t>Share</t>
  </si>
  <si>
    <t>Accept</t>
  </si>
  <si>
    <t>Workstream</t>
  </si>
  <si>
    <t>Historical Progress</t>
  </si>
  <si>
    <t>Notes</t>
  </si>
  <si>
    <t>Target Completion Date</t>
  </si>
  <si>
    <t>Operational or Project Risk</t>
  </si>
  <si>
    <t>Lead</t>
  </si>
  <si>
    <t xml:space="preserve"> Director RIPS</t>
  </si>
  <si>
    <t>Director RIPS</t>
  </si>
  <si>
    <t>Director Legal, Director RIPS</t>
  </si>
  <si>
    <t>DG, Director RIPS, Director RA</t>
  </si>
  <si>
    <t>RIPSRSK0001</t>
  </si>
  <si>
    <t>Program</t>
  </si>
  <si>
    <t>Division</t>
  </si>
  <si>
    <t>Conduct Regulatory Impact Analysis</t>
  </si>
  <si>
    <t>Implementation of the Authority's Strategic Plan and yearly corporate objectives</t>
  </si>
  <si>
    <t>Monitor and evaluate the performance of the Corporate Strategic Objectives</t>
  </si>
  <si>
    <t>Industry Data Collection and Management</t>
  </si>
  <si>
    <t>Implement guidelines for the computation of 1% Regulatory Fees</t>
  </si>
  <si>
    <t>RIPSRSK0002</t>
  </si>
  <si>
    <t>RIPSRSK0003</t>
  </si>
  <si>
    <t>RIPSRSK0004</t>
  </si>
  <si>
    <t>RIPSRSK0005</t>
  </si>
  <si>
    <t>RIPSRSK0006</t>
  </si>
  <si>
    <t>RIPSRSK0007</t>
  </si>
  <si>
    <t>Conduct industry research on trends and emerging technologies</t>
  </si>
  <si>
    <t>Inadequate Industry Intelligence Risk</t>
  </si>
  <si>
    <t>Research may fail to capture current industry trends, emerging technologies, market shifts, or stakeholder expectations, leading to weak policy and regulatory decisions.</t>
  </si>
  <si>
    <t>Poor Regulatory Impact Assessment Risk</t>
  </si>
  <si>
    <t>Regulatory proposals may be assessed with incomplete data, weak assumptions, or limited stakeholder input, resulting in ineffective or burdensome regulations.</t>
  </si>
  <si>
    <t>Strategic Plan Implementation Risk</t>
  </si>
  <si>
    <t>Planned strategic activities and annual corporate objectives may not be implemented on schedule due to funding gaps, weak coordination, staff capacity limits, or changing priorities.</t>
  </si>
  <si>
    <t>Weak Performance Monitoring Risk</t>
  </si>
  <si>
    <t>Corporate objectives may not be properly tracked, measured, or reported, making it difficult to identify underperformance or take corrective action.</t>
  </si>
  <si>
    <t>Industry Data Quality and Management Risk</t>
  </si>
  <si>
    <t>Data collected from industry players may be incomplete, inaccurate, delayed, poorly stored, or inconsistently reported, affecting analysis and decision-making.</t>
  </si>
  <si>
    <t>Regulatory Fee Computation Compliance Risk</t>
  </si>
  <si>
    <t>Guidelines for computing 1% regulatory fees may be misapplied, misunderstood, disputed by industry players, or inconsistently enforced.</t>
  </si>
  <si>
    <t>Determine and implement Wholesale Interconnect Rate for 2024–2026</t>
  </si>
  <si>
    <t>Wholesale Interconnect Rate Determination Risk</t>
  </si>
  <si>
    <t>Wholesale Interconnect Rate decisions may be delayed, challenged, based on insufficient data, or resisted by operators, affecting regulatory credibility and market stability.</t>
  </si>
  <si>
    <t>Improve timely data collection</t>
  </si>
  <si>
    <t>Be intentional to priortise Regulatory Impact Analysis</t>
  </si>
  <si>
    <t>1. Improve revenue collection to help generate funds to meet the budgetary requirements for the objective.
2. Alternative sources of revenue
3. Implement procurement automation tools to ensure the timely processing of purchase orders.</t>
  </si>
  <si>
    <t xml:space="preserve">1.Escalate late submission of Divisional performance data for the Director General's intervention.
2. Automate the submission of performance data to ensure effectiveness and efficiency </t>
  </si>
  <si>
    <t xml:space="preserve">1. Adherance to timelines by the Service Providers in submitting data. Tripartite adhering to laid down procedures and timelines in executing its mandate.
2. Service Providers should receive the penalties associated with non-submission of Data.
3. Data collections should include all Licensed service provider under the Authority.
</t>
  </si>
  <si>
    <t>1. Organise Quarterly workshops to resensitize Operators on compliance and evaluate new challenges.                                                                                          2. Prefer penalties for non-compliance of guideline application.                                                    3. Collect Feedback for continous improvement                          4. Annually review the guidelines on lessons learnt.</t>
  </si>
  <si>
    <t xml:space="preserve">1. Organise Workshops for continous sensitization.                                                              2. Perfer percuniary penalties for non-compliance.                                                       3. Great channels for escalation on dispute resolution on the application of the WIR. </t>
  </si>
  <si>
    <t>Current Status</t>
  </si>
  <si>
    <t>In progress</t>
  </si>
  <si>
    <t>medium term</t>
  </si>
  <si>
    <t>Operations</t>
  </si>
  <si>
    <t>Project</t>
  </si>
  <si>
    <t>DG</t>
  </si>
  <si>
    <t>30/6/2026</t>
  </si>
  <si>
    <t>30/9/2026</t>
  </si>
  <si>
    <t>30/12/2026</t>
  </si>
  <si>
    <r>
      <rPr>
        <sz val="11"/>
        <color theme="1"/>
        <rFont val="Calibri"/>
        <family val="2"/>
        <scheme val="minor"/>
      </rPr>
      <t>Director, RIPS</t>
    </r>
    <r>
      <rPr>
        <b/>
        <sz val="11"/>
        <color theme="1"/>
        <rFont val="Calibri"/>
        <family val="2"/>
        <scheme val="minor"/>
      </rPr>
      <t xml:space="preserve"> 
</t>
    </r>
  </si>
  <si>
    <t>Training was conducted prior to the data distribution in Q2</t>
  </si>
  <si>
    <t>Work in progress</t>
  </si>
  <si>
    <t>30/12/2027</t>
  </si>
  <si>
    <t>30/12/2028</t>
  </si>
  <si>
    <t>30/12/2029</t>
  </si>
  <si>
    <t>30/12/2030</t>
  </si>
  <si>
    <t>30/12/2031</t>
  </si>
  <si>
    <t>30/12/2032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</si>
</sst>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font>
      <sz val="14"/>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sz val="10"/>
      <color theme="1"/>
      <name val="Arial"/>
      <family val="2"/>
    </font>
    <font>
      <sz val="10"/>
      <color theme="0"/>
      <name val="Arial"/>
      <family val="2"/>
    </font>
    <font>
      <b/>
      <sz val="11"/>
      <color theme="1"/>
      <name val="Calibri"/>
      <family val="2"/>
      <scheme val="minor"/>
    </font>
    <font>
      <sz val="12"/>
      <name val="Arial"/>
      <charset val="134"/>
    </font>
    <font>
      <sz val="11"/>
      <color theme="1"/>
      <name val="Arial"/>
      <family val="2"/>
    </font>
    <font>
      <sz val="11"/>
      <color theme="1"/>
      <name val="Cambria"/>
      <family val="1"/>
    </font>
    <font>
      <sz val="11"/>
      <name val="Calibri"/>
      <family val="2"/>
      <scheme val="minor"/>
    </font>
    <font>
      <b/>
      <sz val="11"/>
      <color theme="1"/>
      <name val="Arial"/>
      <family val="2"/>
    </font>
    <font>
      <sz val="11"/>
      <color rgb="FF000000"/>
      <name val="Calibri"/>
      <family val="2"/>
      <scheme val="minor"/>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s>
  <cellStyleXfs count="2">
    <xf numFmtId="0" fontId="0" fillId="0" borderId="0"/>
    <xf numFmtId="0" fontId="7" fillId="0" borderId="0"/>
  </cellStyleXfs>
  <cellXfs count="34">
    <xf numFmtId="0" fontId="0" fillId="0" borderId="0" xfId="0"/>
    <xf numFmtId="0" fontId="4" fillId="0" borderId="0" xfId="0" applyFont="1"/>
    <xf numFmtId="0" fontId="4" fillId="0" borderId="0" xfId="0" applyFont="1" applyAlignment="1">
      <alignment vertical="center"/>
    </xf>
    <xf numFmtId="0" fontId="4" fillId="0" borderId="0" xfId="0" applyFont="1" applyAlignment="1">
      <alignment vertical="center" wrapText="1"/>
    </xf>
    <xf numFmtId="0" fontId="5"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0" xfId="0" applyFont="1" applyAlignment="1">
      <alignment vertical="top"/>
    </xf>
    <xf numFmtId="0" fontId="8" fillId="0" borderId="1" xfId="0" applyFont="1" applyBorder="1" applyAlignment="1">
      <alignment vertical="top"/>
    </xf>
    <xf numFmtId="0" fontId="9" fillId="0" borderId="0" xfId="0" applyFont="1" applyAlignment="1">
      <alignment vertical="top" wrapText="1"/>
    </xf>
    <xf numFmtId="164" fontId="8" fillId="0" borderId="1" xfId="0" applyNumberFormat="1" applyFont="1" applyBorder="1" applyAlignment="1">
      <alignment horizontal="left"/>
    </xf>
    <xf numFmtId="0" fontId="10" fillId="0" borderId="5" xfId="1" applyFont="1" applyBorder="1" applyAlignment="1">
      <alignment vertical="top" wrapText="1"/>
    </xf>
    <xf numFmtId="0" fontId="8" fillId="0" borderId="1" xfId="0" applyFont="1" applyBorder="1"/>
    <xf numFmtId="0" fontId="2" fillId="0" borderId="5" xfId="0" applyFont="1" applyBorder="1" applyAlignment="1">
      <alignment vertical="top" wrapText="1"/>
    </xf>
    <xf numFmtId="0" fontId="8" fillId="0" borderId="0" xfId="0" applyFont="1"/>
    <xf numFmtId="0" fontId="11" fillId="2" borderId="1" xfId="0" applyFont="1" applyFill="1" applyBorder="1" applyAlignment="1">
      <alignment vertical="top"/>
    </xf>
    <xf numFmtId="0" fontId="11" fillId="2" borderId="1" xfId="0" applyFont="1" applyFill="1" applyBorder="1" applyAlignment="1">
      <alignment horizontal="center"/>
    </xf>
    <xf numFmtId="0" fontId="8" fillId="0" borderId="1" xfId="0" applyFont="1" applyBorder="1" applyAlignment="1">
      <alignment horizontal="center"/>
    </xf>
    <xf numFmtId="0" fontId="8" fillId="0" borderId="0" xfId="0" applyFont="1" applyAlignment="1">
      <alignment vertical="top"/>
    </xf>
    <xf numFmtId="0" fontId="8" fillId="0" borderId="0" xfId="0" applyFont="1" applyAlignment="1">
      <alignment vertical="center"/>
    </xf>
    <xf numFmtId="0" fontId="11" fillId="2" borderId="1" xfId="0" applyFont="1" applyFill="1" applyBorder="1" applyAlignment="1">
      <alignment vertical="top" wrapText="1"/>
    </xf>
    <xf numFmtId="0" fontId="11" fillId="2" borderId="1" xfId="0" applyFont="1" applyFill="1" applyBorder="1" applyAlignment="1">
      <alignment vertical="center" wrapText="1"/>
    </xf>
    <xf numFmtId="164" fontId="8" fillId="0" borderId="1" xfId="0" applyNumberFormat="1" applyFont="1" applyBorder="1" applyAlignment="1">
      <alignment horizontal="left" vertical="top"/>
    </xf>
    <xf numFmtId="0" fontId="8" fillId="0" borderId="1" xfId="0" applyFont="1" applyBorder="1" applyAlignment="1">
      <alignment vertical="top" wrapText="1"/>
    </xf>
    <xf numFmtId="0" fontId="12" fillId="0" borderId="5" xfId="0" applyFont="1" applyBorder="1" applyAlignment="1">
      <alignment vertical="top" wrapText="1"/>
    </xf>
    <xf numFmtId="0" fontId="6" fillId="0" borderId="5" xfId="0" applyFont="1" applyBorder="1" applyAlignment="1">
      <alignment vertical="top" wrapText="1"/>
    </xf>
    <xf numFmtId="0" fontId="2" fillId="0" borderId="6" xfId="0" applyFont="1" applyBorder="1" applyAlignment="1">
      <alignment vertical="top" wrapText="1"/>
    </xf>
    <xf numFmtId="164" fontId="8" fillId="0" borderId="1" xfId="0" applyNumberFormat="1" applyFont="1" applyBorder="1"/>
    <xf numFmtId="0" fontId="11" fillId="2" borderId="2" xfId="0" applyFont="1" applyFill="1" applyBorder="1" applyAlignment="1">
      <alignment horizontal="center" vertical="center"/>
    </xf>
    <xf numFmtId="0" fontId="11" fillId="2" borderId="3" xfId="0" applyFont="1" applyFill="1" applyBorder="1" applyAlignment="1">
      <alignment horizontal="center"/>
    </xf>
    <xf numFmtId="0" fontId="11" fillId="2" borderId="4" xfId="0" applyFont="1" applyFill="1" applyBorder="1" applyAlignment="1">
      <alignment horizontal="center"/>
    </xf>
    <xf numFmtId="0" fontId="3" fillId="2" borderId="1" xfId="0" applyFont="1" applyFill="1" applyBorder="1" applyAlignment="1">
      <alignment horizontal="center" vertical="center" textRotation="90"/>
    </xf>
    <xf numFmtId="0" fontId="3" fillId="2" borderId="1" xfId="0" applyFont="1" applyFill="1" applyBorder="1" applyAlignment="1">
      <alignment horizontal="center" vertical="center"/>
    </xf>
  </cellXfs>
  <cellStyles count="2">
    <cellStyle name="Normal" xfId="0" builtinId="0"/>
    <cellStyle name="Normal_Tufts Scoping Workbook_DRAFT11.03.08 - Unlocked" xfId="1" xr:uid="{00000000-0005-0000-0000-000001000000}"/>
  </cellStyles>
  <dxfs count="9">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371476</xdr:colOff>
      <xdr:row>1</xdr:row>
      <xdr:rowOff>1</xdr:rowOff>
    </xdr:from>
    <xdr:to>
      <xdr:col>4</xdr:col>
      <xdr:colOff>3133726</xdr:colOff>
      <xdr:row>7</xdr:row>
      <xdr:rowOff>19418</xdr:rowOff>
    </xdr:to>
    <xdr:pic>
      <xdr:nvPicPr>
        <xdr:cNvPr id="6" name="Picture 5">
          <a:extLst>
            <a:ext uri="{FF2B5EF4-FFF2-40B4-BE49-F238E27FC236}">
              <a16:creationId xmlns:a16="http://schemas.microsoft.com/office/drawing/2014/main" id="{A315AD78-E6C7-4F67-BB76-9654DF05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3926" y="161926"/>
          <a:ext cx="2762250" cy="106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B20"/>
  <sheetViews>
    <sheetView tabSelected="1" topLeftCell="A3" zoomScale="80" zoomScaleNormal="80" workbookViewId="0">
      <selection activeCell="B13" sqref="B13"/>
    </sheetView>
  </sheetViews>
  <sheetFormatPr defaultColWidth="8.78515625" defaultRowHeight="14"/>
  <cols>
    <col min="1" max="1" width="3.5703125" style="1" customWidth="1"/>
    <col min="2" max="2" width="14.0703125" style="19" customWidth="1"/>
    <col min="3" max="3" width="28.7109375" style="19" customWidth="1"/>
    <col min="4" max="4" width="20.0703125" style="15" customWidth="1"/>
    <col min="5" max="5" width="47.5703125" style="15" customWidth="1"/>
    <col min="6" max="6" width="20.92578125" style="15" customWidth="1"/>
    <col min="7" max="7" width="19.85546875" style="19" customWidth="1"/>
    <col min="8" max="8" width="13.42578125" style="15" customWidth="1"/>
    <col min="9" max="9" width="13" style="15" customWidth="1"/>
    <col min="10" max="10" width="12.92578125" style="15" customWidth="1"/>
    <col min="11" max="11" width="8.78515625" style="15"/>
    <col min="12" max="12" width="10.92578125" style="15" customWidth="1"/>
    <col min="13" max="13" width="8.78515625" style="15"/>
    <col min="14" max="14" width="11.2109375" style="15" customWidth="1"/>
    <col min="15" max="15" width="12.0703125" style="15" customWidth="1"/>
    <col min="16" max="16" width="11.5" style="15" customWidth="1"/>
    <col min="17" max="17" width="10.5703125" style="15" customWidth="1"/>
    <col min="18" max="18" width="30.5" style="15" customWidth="1"/>
    <col min="19" max="19" width="9.78515625" style="15" customWidth="1"/>
    <col min="20" max="20" width="12.42578125" style="15" customWidth="1"/>
    <col min="21" max="22" width="12.7109375" style="15" customWidth="1"/>
    <col min="23" max="23" width="8.78515625" style="15"/>
    <col min="24" max="24" width="10.2109375" style="15" customWidth="1"/>
    <col min="25" max="25" width="10.5" style="15" customWidth="1"/>
    <col min="26" max="26" width="12.5" style="15" customWidth="1"/>
    <col min="27" max="27" width="14.7109375" style="15" customWidth="1"/>
    <col min="28" max="28" width="12.85546875" style="15" customWidth="1"/>
    <col min="29" max="16384" width="8.78515625" style="1"/>
  </cols>
  <sheetData>
    <row r="2" spans="2:28">
      <c r="B2" s="16" t="s">
        <v>56</v>
      </c>
      <c r="C2" s="16"/>
      <c r="D2" s="13"/>
      <c r="F2" s="30" t="s">
        <v>23</v>
      </c>
      <c r="G2" s="31"/>
      <c r="I2" s="30" t="s">
        <v>29</v>
      </c>
      <c r="J2" s="31"/>
      <c r="L2" s="17" t="s">
        <v>37</v>
      </c>
    </row>
    <row r="3" spans="2:28">
      <c r="B3" s="16" t="s">
        <v>49</v>
      </c>
      <c r="C3" s="16"/>
      <c r="D3" s="13"/>
      <c r="F3" s="18">
        <v>1</v>
      </c>
      <c r="G3" s="9" t="s">
        <v>25</v>
      </c>
      <c r="I3" s="18">
        <v>1</v>
      </c>
      <c r="J3" s="13" t="s">
        <v>30</v>
      </c>
      <c r="L3" s="13" t="s">
        <v>38</v>
      </c>
    </row>
    <row r="4" spans="2:28">
      <c r="B4" s="16" t="s">
        <v>2</v>
      </c>
      <c r="C4" s="16"/>
      <c r="D4" s="13"/>
      <c r="F4" s="18">
        <v>2</v>
      </c>
      <c r="G4" s="9" t="s">
        <v>24</v>
      </c>
      <c r="I4" s="18">
        <v>2</v>
      </c>
      <c r="J4" s="13" t="s">
        <v>31</v>
      </c>
      <c r="L4" s="13" t="s">
        <v>39</v>
      </c>
    </row>
    <row r="5" spans="2:28">
      <c r="F5" s="18">
        <v>3</v>
      </c>
      <c r="G5" s="9" t="s">
        <v>26</v>
      </c>
      <c r="I5" s="18">
        <v>3</v>
      </c>
      <c r="J5" s="13" t="s">
        <v>32</v>
      </c>
      <c r="L5" s="13" t="s">
        <v>40</v>
      </c>
    </row>
    <row r="6" spans="2:28">
      <c r="F6" s="18">
        <v>4</v>
      </c>
      <c r="G6" s="9" t="s">
        <v>27</v>
      </c>
      <c r="I6" s="18">
        <v>4</v>
      </c>
      <c r="J6" s="13" t="s">
        <v>33</v>
      </c>
      <c r="L6" s="13" t="s">
        <v>41</v>
      </c>
    </row>
    <row r="7" spans="2:28">
      <c r="F7" s="18">
        <v>5</v>
      </c>
      <c r="G7" s="9" t="s">
        <v>28</v>
      </c>
      <c r="I7" s="18">
        <v>5</v>
      </c>
      <c r="J7" s="13" t="s">
        <v>34</v>
      </c>
      <c r="L7" s="13" t="s">
        <v>42</v>
      </c>
    </row>
    <row r="8" spans="2:28">
      <c r="L8" s="13" t="s">
        <v>43</v>
      </c>
    </row>
    <row r="11" spans="2:28" s="2" customFormat="1" ht="19.5" customHeight="1">
      <c r="B11" s="19"/>
      <c r="C11" s="19"/>
      <c r="D11" s="20"/>
      <c r="E11" s="20"/>
      <c r="F11" s="20"/>
      <c r="G11" s="19"/>
      <c r="H11" s="29" t="s">
        <v>9</v>
      </c>
      <c r="I11" s="29"/>
      <c r="J11" s="29"/>
      <c r="K11" s="29" t="s">
        <v>10</v>
      </c>
      <c r="L11" s="29"/>
      <c r="M11" s="29"/>
      <c r="N11" s="29" t="s">
        <v>14</v>
      </c>
      <c r="O11" s="29"/>
      <c r="P11" s="29"/>
      <c r="Q11" s="20"/>
      <c r="R11" s="20"/>
      <c r="S11" s="20"/>
      <c r="T11" s="20"/>
      <c r="U11" s="20"/>
      <c r="V11" s="20"/>
      <c r="W11" s="20"/>
      <c r="X11" s="20"/>
      <c r="Y11" s="20"/>
      <c r="Z11" s="20"/>
      <c r="AA11" s="20"/>
      <c r="AB11" s="20"/>
    </row>
    <row r="12" spans="2:28" s="3" customFormat="1" ht="42.5" thickBot="1">
      <c r="B12" s="21" t="s">
        <v>0</v>
      </c>
      <c r="C12" s="21" t="s">
        <v>55</v>
      </c>
      <c r="D12" s="22" t="s">
        <v>1</v>
      </c>
      <c r="E12" s="22" t="s">
        <v>3</v>
      </c>
      <c r="F12" s="22" t="s">
        <v>4</v>
      </c>
      <c r="G12" s="21" t="s">
        <v>5</v>
      </c>
      <c r="H12" s="22" t="s">
        <v>6</v>
      </c>
      <c r="I12" s="22" t="s">
        <v>7</v>
      </c>
      <c r="J12" s="22" t="s">
        <v>8</v>
      </c>
      <c r="K12" s="22" t="s">
        <v>11</v>
      </c>
      <c r="L12" s="22" t="s">
        <v>12</v>
      </c>
      <c r="M12" s="22" t="s">
        <v>13</v>
      </c>
      <c r="N12" s="22" t="s">
        <v>15</v>
      </c>
      <c r="O12" s="22" t="s">
        <v>16</v>
      </c>
      <c r="P12" s="22" t="s">
        <v>17</v>
      </c>
      <c r="Q12" s="22" t="s">
        <v>37</v>
      </c>
      <c r="R12" s="22" t="s">
        <v>18</v>
      </c>
      <c r="S12" s="22" t="s">
        <v>91</v>
      </c>
      <c r="T12" s="22" t="s">
        <v>19</v>
      </c>
      <c r="U12" s="22" t="s">
        <v>44</v>
      </c>
      <c r="V12" s="22" t="s">
        <v>48</v>
      </c>
      <c r="W12" s="22" t="s">
        <v>20</v>
      </c>
      <c r="X12" s="22" t="s">
        <v>21</v>
      </c>
      <c r="Y12" s="22" t="s">
        <v>22</v>
      </c>
      <c r="Z12" s="22" t="s">
        <v>47</v>
      </c>
      <c r="AA12" s="22" t="s">
        <v>45</v>
      </c>
      <c r="AB12" s="22" t="s">
        <v>46</v>
      </c>
    </row>
    <row r="13" spans="2:28" s="8" customFormat="1" ht="56.5" thickBot="1">
      <c r="B13" s="9" t="s">
        <v>54</v>
      </c>
      <c r="C13" s="10" t="s">
        <v>68</v>
      </c>
      <c r="D13" s="10" t="s">
        <v>69</v>
      </c>
      <c r="E13" s="10" t="s">
        <v>70</v>
      </c>
      <c r="F13" s="23">
        <v>46086</v>
      </c>
      <c r="G13" s="12" t="s">
        <v>50</v>
      </c>
      <c r="H13" s="9">
        <v>1</v>
      </c>
      <c r="I13" s="9">
        <v>3</v>
      </c>
      <c r="J13" s="9">
        <f t="shared" ref="J13" si="0">H13*I13</f>
        <v>3</v>
      </c>
      <c r="K13" s="9">
        <v>4</v>
      </c>
      <c r="L13" s="9">
        <v>5</v>
      </c>
      <c r="M13" s="9">
        <f>K13*L13</f>
        <v>20</v>
      </c>
      <c r="N13" s="9">
        <v>3</v>
      </c>
      <c r="O13" s="9">
        <v>1</v>
      </c>
      <c r="P13" s="9">
        <f>N13*O13</f>
        <v>3</v>
      </c>
      <c r="Q13" s="9" t="s">
        <v>39</v>
      </c>
      <c r="R13" s="14" t="s">
        <v>84</v>
      </c>
      <c r="S13" s="9" t="s">
        <v>92</v>
      </c>
      <c r="T13" s="9" t="s">
        <v>93</v>
      </c>
      <c r="U13" s="9" t="s">
        <v>94</v>
      </c>
      <c r="V13" s="9" t="s">
        <v>95</v>
      </c>
      <c r="W13" s="9" t="s">
        <v>96</v>
      </c>
      <c r="X13" s="9" t="s">
        <v>97</v>
      </c>
      <c r="Y13" s="9" t="s">
        <v>98</v>
      </c>
      <c r="Z13" s="9" t="s">
        <v>99</v>
      </c>
      <c r="AA13" s="24" t="s">
        <v>101</v>
      </c>
      <c r="AB13" s="9" t="s">
        <v>102</v>
      </c>
    </row>
    <row r="14" spans="2:28" ht="42.5" thickBot="1">
      <c r="B14" s="9" t="s">
        <v>62</v>
      </c>
      <c r="C14" s="10" t="s">
        <v>57</v>
      </c>
      <c r="D14" s="10" t="s">
        <v>71</v>
      </c>
      <c r="E14" s="10" t="s">
        <v>72</v>
      </c>
      <c r="F14" s="11">
        <v>46087</v>
      </c>
      <c r="G14" s="14" t="s">
        <v>51</v>
      </c>
      <c r="H14" s="13">
        <v>2</v>
      </c>
      <c r="I14" s="13">
        <v>2</v>
      </c>
      <c r="J14" s="13">
        <f t="shared" ref="J14:J20" si="1">H14*I14</f>
        <v>4</v>
      </c>
      <c r="K14" s="13">
        <v>5</v>
      </c>
      <c r="L14" s="13">
        <v>3</v>
      </c>
      <c r="M14" s="13">
        <f t="shared" ref="M14:M20" si="2">K14*L14</f>
        <v>15</v>
      </c>
      <c r="N14" s="13">
        <v>2</v>
      </c>
      <c r="O14" s="13">
        <v>3</v>
      </c>
      <c r="P14" s="13">
        <f t="shared" ref="P14:P20" si="3">N14*O14</f>
        <v>6</v>
      </c>
      <c r="Q14" s="9" t="s">
        <v>39</v>
      </c>
      <c r="R14" s="25" t="s">
        <v>85</v>
      </c>
      <c r="S14" s="13"/>
      <c r="T14" s="13"/>
      <c r="U14" s="13"/>
      <c r="V14" s="13"/>
      <c r="W14" s="13"/>
      <c r="X14" s="13"/>
      <c r="Y14" s="13"/>
      <c r="Z14" s="9" t="s">
        <v>103</v>
      </c>
      <c r="AA14" s="13"/>
      <c r="AB14" s="13"/>
    </row>
    <row r="15" spans="2:28" ht="122" customHeight="1" thickBot="1">
      <c r="B15" s="9" t="s">
        <v>63</v>
      </c>
      <c r="C15" s="10" t="s">
        <v>58</v>
      </c>
      <c r="D15" s="10" t="s">
        <v>73</v>
      </c>
      <c r="E15" s="10" t="s">
        <v>74</v>
      </c>
      <c r="F15" s="11">
        <v>46088</v>
      </c>
      <c r="G15" s="14" t="s">
        <v>51</v>
      </c>
      <c r="H15" s="13">
        <v>3</v>
      </c>
      <c r="I15" s="13">
        <v>2</v>
      </c>
      <c r="J15" s="13">
        <f t="shared" si="1"/>
        <v>6</v>
      </c>
      <c r="K15" s="13">
        <v>3</v>
      </c>
      <c r="L15" s="13">
        <v>4</v>
      </c>
      <c r="M15" s="13">
        <f t="shared" si="2"/>
        <v>12</v>
      </c>
      <c r="N15" s="13">
        <v>2</v>
      </c>
      <c r="O15" s="13">
        <v>1</v>
      </c>
      <c r="P15" s="13">
        <f t="shared" si="3"/>
        <v>2</v>
      </c>
      <c r="Q15" s="9" t="s">
        <v>39</v>
      </c>
      <c r="R15" s="14" t="s">
        <v>86</v>
      </c>
      <c r="S15" s="13"/>
      <c r="T15" s="13"/>
      <c r="U15" s="13"/>
      <c r="V15" s="13"/>
      <c r="W15" s="13"/>
      <c r="X15" s="13"/>
      <c r="Y15" s="13"/>
      <c r="Z15" s="9" t="s">
        <v>104</v>
      </c>
      <c r="AA15" s="13"/>
      <c r="AB15" s="13"/>
    </row>
    <row r="16" spans="2:28" ht="107.5" customHeight="1" thickBot="1">
      <c r="B16" s="9" t="s">
        <v>64</v>
      </c>
      <c r="C16" s="10" t="s">
        <v>59</v>
      </c>
      <c r="D16" s="10" t="s">
        <v>75</v>
      </c>
      <c r="E16" s="10" t="s">
        <v>76</v>
      </c>
      <c r="F16" s="11">
        <v>46089</v>
      </c>
      <c r="G16" s="14" t="s">
        <v>51</v>
      </c>
      <c r="H16" s="13">
        <v>4</v>
      </c>
      <c r="I16" s="13">
        <v>5</v>
      </c>
      <c r="J16" s="13">
        <f t="shared" si="1"/>
        <v>20</v>
      </c>
      <c r="K16" s="13">
        <v>2</v>
      </c>
      <c r="L16" s="13">
        <v>5</v>
      </c>
      <c r="M16" s="13">
        <f t="shared" si="2"/>
        <v>10</v>
      </c>
      <c r="N16" s="13">
        <v>2</v>
      </c>
      <c r="O16" s="13">
        <v>4</v>
      </c>
      <c r="P16" s="13">
        <f t="shared" si="3"/>
        <v>8</v>
      </c>
      <c r="Q16" s="9" t="s">
        <v>39</v>
      </c>
      <c r="R16" s="14" t="s">
        <v>87</v>
      </c>
      <c r="S16" s="13"/>
      <c r="T16" s="13"/>
      <c r="U16" s="13"/>
      <c r="V16" s="13"/>
      <c r="W16" s="13"/>
      <c r="X16" s="13"/>
      <c r="Y16" s="13"/>
      <c r="Z16" s="9" t="s">
        <v>105</v>
      </c>
      <c r="AA16" s="13"/>
      <c r="AB16" s="13"/>
    </row>
    <row r="17" spans="2:28" ht="76.5" customHeight="1" thickBot="1">
      <c r="B17" s="9" t="s">
        <v>65</v>
      </c>
      <c r="C17" s="10" t="s">
        <v>60</v>
      </c>
      <c r="D17" s="10" t="s">
        <v>77</v>
      </c>
      <c r="E17" s="10" t="s">
        <v>78</v>
      </c>
      <c r="F17" s="11">
        <v>46090</v>
      </c>
      <c r="G17" s="26" t="s">
        <v>100</v>
      </c>
      <c r="H17" s="13">
        <v>4</v>
      </c>
      <c r="I17" s="13">
        <v>3</v>
      </c>
      <c r="J17" s="13">
        <f t="shared" si="1"/>
        <v>12</v>
      </c>
      <c r="K17" s="13">
        <v>2</v>
      </c>
      <c r="L17" s="13">
        <v>5</v>
      </c>
      <c r="M17" s="13">
        <f t="shared" si="2"/>
        <v>10</v>
      </c>
      <c r="N17" s="13">
        <v>3</v>
      </c>
      <c r="O17" s="13">
        <v>3</v>
      </c>
      <c r="P17" s="13">
        <f t="shared" si="3"/>
        <v>9</v>
      </c>
      <c r="Q17" s="9" t="s">
        <v>39</v>
      </c>
      <c r="R17" s="14" t="s">
        <v>88</v>
      </c>
      <c r="S17" s="13"/>
      <c r="T17" s="13"/>
      <c r="U17" s="13"/>
      <c r="V17" s="13"/>
      <c r="W17" s="13"/>
      <c r="X17" s="13"/>
      <c r="Y17" s="13"/>
      <c r="Z17" s="9" t="s">
        <v>106</v>
      </c>
      <c r="AA17" s="13"/>
      <c r="AB17" s="13"/>
    </row>
    <row r="18" spans="2:28" ht="134" customHeight="1" thickBot="1">
      <c r="B18" s="9" t="s">
        <v>66</v>
      </c>
      <c r="C18" s="10" t="s">
        <v>61</v>
      </c>
      <c r="D18" s="10" t="s">
        <v>79</v>
      </c>
      <c r="E18" s="10" t="s">
        <v>80</v>
      </c>
      <c r="F18" s="11">
        <v>46091</v>
      </c>
      <c r="G18" s="14" t="s">
        <v>52</v>
      </c>
      <c r="H18" s="13">
        <v>1</v>
      </c>
      <c r="I18" s="13">
        <v>5</v>
      </c>
      <c r="J18" s="13">
        <f t="shared" si="1"/>
        <v>5</v>
      </c>
      <c r="K18" s="13">
        <v>5</v>
      </c>
      <c r="L18" s="13">
        <v>3</v>
      </c>
      <c r="M18" s="13">
        <f t="shared" si="2"/>
        <v>15</v>
      </c>
      <c r="N18" s="13">
        <v>4</v>
      </c>
      <c r="O18" s="13">
        <v>1</v>
      </c>
      <c r="P18" s="13">
        <f t="shared" si="3"/>
        <v>4</v>
      </c>
      <c r="Q18" s="9" t="s">
        <v>39</v>
      </c>
      <c r="R18" s="14" t="s">
        <v>89</v>
      </c>
      <c r="S18" s="13"/>
      <c r="T18" s="13"/>
      <c r="U18" s="13"/>
      <c r="V18" s="13"/>
      <c r="W18" s="13"/>
      <c r="X18" s="13"/>
      <c r="Y18" s="13"/>
      <c r="Z18" s="9" t="s">
        <v>107</v>
      </c>
      <c r="AA18" s="13"/>
      <c r="AB18" s="13"/>
    </row>
    <row r="19" spans="2:28" ht="106" customHeight="1" thickBot="1">
      <c r="B19" s="9" t="s">
        <v>67</v>
      </c>
      <c r="C19" s="10" t="s">
        <v>81</v>
      </c>
      <c r="D19" s="10" t="s">
        <v>82</v>
      </c>
      <c r="E19" s="10" t="s">
        <v>83</v>
      </c>
      <c r="F19" s="11">
        <v>46092</v>
      </c>
      <c r="G19" s="27" t="s">
        <v>53</v>
      </c>
      <c r="H19" s="13">
        <v>5</v>
      </c>
      <c r="I19" s="13">
        <v>5</v>
      </c>
      <c r="J19" s="13">
        <f t="shared" si="1"/>
        <v>25</v>
      </c>
      <c r="K19" s="13">
        <v>4</v>
      </c>
      <c r="L19" s="13">
        <v>4</v>
      </c>
      <c r="M19" s="13">
        <f t="shared" si="2"/>
        <v>16</v>
      </c>
      <c r="N19" s="13">
        <v>2</v>
      </c>
      <c r="O19" s="13">
        <v>3</v>
      </c>
      <c r="P19" s="13">
        <f t="shared" si="3"/>
        <v>6</v>
      </c>
      <c r="Q19" s="9" t="s">
        <v>39</v>
      </c>
      <c r="R19" s="27" t="s">
        <v>90</v>
      </c>
      <c r="S19" s="13"/>
      <c r="T19" s="13"/>
      <c r="U19" s="13"/>
      <c r="V19" s="13"/>
      <c r="W19" s="13"/>
      <c r="X19" s="13"/>
      <c r="Y19" s="13"/>
      <c r="Z19" s="9" t="s">
        <v>108</v>
      </c>
      <c r="AA19" s="13"/>
      <c r="AB19" s="13"/>
    </row>
    <row r="20" spans="2:28">
      <c r="B20" s="9"/>
      <c r="C20" s="9"/>
      <c r="D20" s="13"/>
      <c r="E20" s="13"/>
      <c r="F20" s="28"/>
      <c r="G20" s="9"/>
      <c r="H20" s="13"/>
      <c r="I20" s="13"/>
      <c r="J20" s="13">
        <f t="shared" si="1"/>
        <v>0</v>
      </c>
      <c r="K20" s="13"/>
      <c r="L20" s="13"/>
      <c r="M20" s="13">
        <f t="shared" si="2"/>
        <v>0</v>
      </c>
      <c r="N20" s="13"/>
      <c r="O20" s="13"/>
      <c r="P20" s="13">
        <f t="shared" si="3"/>
        <v>0</v>
      </c>
      <c r="Q20" s="13"/>
      <c r="R20" s="13"/>
      <c r="S20" s="13"/>
      <c r="T20" s="13"/>
      <c r="U20" s="13"/>
      <c r="V20" s="13"/>
      <c r="W20" s="13"/>
      <c r="X20" s="13"/>
      <c r="Y20" s="13"/>
      <c r="Z20" s="13"/>
      <c r="AA20" s="13"/>
      <c r="AB20" s="13"/>
    </row>
  </sheetData>
  <mergeCells count="5">
    <mergeCell ref="H11:J11"/>
    <mergeCell ref="K11:M11"/>
    <mergeCell ref="N11:P11"/>
    <mergeCell ref="F2:G2"/>
    <mergeCell ref="I2:J2"/>
  </mergeCells>
  <phoneticPr fontId="13" type="noConversion"/>
  <conditionalFormatting sqref="J13:J20">
    <cfRule type="cellIs" dxfId="8" priority="7" operator="greaterThanOrEqual">
      <formula>20</formula>
    </cfRule>
    <cfRule type="cellIs" dxfId="7" priority="8" operator="between">
      <formula>11</formula>
      <formula>19</formula>
    </cfRule>
    <cfRule type="cellIs" dxfId="6" priority="9" operator="between">
      <formula>1</formula>
      <formula>10</formula>
    </cfRule>
  </conditionalFormatting>
  <conditionalFormatting sqref="M13:M20">
    <cfRule type="cellIs" dxfId="5" priority="4" operator="greaterThanOrEqual">
      <formula>20</formula>
    </cfRule>
    <cfRule type="cellIs" dxfId="4" priority="5" operator="between">
      <formula>11</formula>
      <formula>19</formula>
    </cfRule>
    <cfRule type="cellIs" dxfId="3" priority="6" operator="between">
      <formula>1</formula>
      <formula>10</formula>
    </cfRule>
  </conditionalFormatting>
  <conditionalFormatting sqref="P13:P20">
    <cfRule type="cellIs" dxfId="2" priority="1" operator="greaterThanOrEqual">
      <formula>20</formula>
    </cfRule>
    <cfRule type="cellIs" dxfId="1" priority="2" operator="between">
      <formula>11</formula>
      <formula>19</formula>
    </cfRule>
    <cfRule type="cellIs" dxfId="0" priority="3" operator="between">
      <formula>1</formula>
      <formula>10</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Lookups!$B$3:$B$7</xm:f>
          </x14:formula1>
          <xm:sqref>K13:K20 N13:N20 H13:H20</xm:sqref>
        </x14:dataValidation>
        <x14:dataValidation type="list" allowBlank="1" showInputMessage="1" showErrorMessage="1" xr:uid="{00000000-0002-0000-0000-000001000000}">
          <x14:formula1>
            <xm:f>Lookups!$E$3:$E$7</xm:f>
          </x14:formula1>
          <xm:sqref>L13:L20 O13:O20 I13:I20</xm:sqref>
        </x14:dataValidation>
        <x14:dataValidation type="list" allowBlank="1" showInputMessage="1" showErrorMessage="1" xr:uid="{00000000-0002-0000-0000-000002000000}">
          <x14:formula1>
            <xm:f>Lookups!$I$3:$I$8</xm:f>
          </x14:formula1>
          <xm:sqref>Q13:Q20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19"/>
  <sheetViews>
    <sheetView workbookViewId="0">
      <selection activeCell="K16" sqref="K16"/>
    </sheetView>
  </sheetViews>
  <sheetFormatPr defaultRowHeight="18.5"/>
  <cols>
    <col min="2" max="2" width="13.28515625" customWidth="1"/>
    <col min="3" max="3" width="3.78515625" customWidth="1"/>
    <col min="4" max="4" width="10" customWidth="1"/>
    <col min="5" max="8" width="5.2109375" customWidth="1"/>
  </cols>
  <sheetData>
    <row r="2" spans="2:9">
      <c r="B2" t="s">
        <v>23</v>
      </c>
      <c r="E2" t="s">
        <v>29</v>
      </c>
      <c r="I2" t="s">
        <v>37</v>
      </c>
    </row>
    <row r="3" spans="2:9">
      <c r="B3">
        <v>1</v>
      </c>
      <c r="C3" t="s">
        <v>25</v>
      </c>
      <c r="E3">
        <v>1</v>
      </c>
      <c r="F3" t="s">
        <v>30</v>
      </c>
      <c r="I3" t="s">
        <v>38</v>
      </c>
    </row>
    <row r="4" spans="2:9">
      <c r="B4">
        <v>2</v>
      </c>
      <c r="C4" t="s">
        <v>24</v>
      </c>
      <c r="E4">
        <v>2</v>
      </c>
      <c r="F4" t="s">
        <v>31</v>
      </c>
      <c r="I4" t="s">
        <v>39</v>
      </c>
    </row>
    <row r="5" spans="2:9">
      <c r="B5">
        <v>3</v>
      </c>
      <c r="C5" t="s">
        <v>26</v>
      </c>
      <c r="E5">
        <v>3</v>
      </c>
      <c r="F5" t="s">
        <v>32</v>
      </c>
      <c r="I5" t="s">
        <v>40</v>
      </c>
    </row>
    <row r="6" spans="2:9">
      <c r="B6">
        <v>4</v>
      </c>
      <c r="C6" t="s">
        <v>27</v>
      </c>
      <c r="E6">
        <v>4</v>
      </c>
      <c r="F6" t="s">
        <v>33</v>
      </c>
      <c r="I6" t="s">
        <v>41</v>
      </c>
    </row>
    <row r="7" spans="2:9">
      <c r="B7">
        <v>5</v>
      </c>
      <c r="C7" t="s">
        <v>28</v>
      </c>
      <c r="E7">
        <v>5</v>
      </c>
      <c r="F7" t="s">
        <v>34</v>
      </c>
      <c r="I7" t="s">
        <v>42</v>
      </c>
    </row>
    <row r="8" spans="2:9">
      <c r="I8" t="s">
        <v>43</v>
      </c>
    </row>
    <row r="14" spans="2:9" ht="14.25" customHeight="1">
      <c r="C14" s="32" t="s">
        <v>35</v>
      </c>
      <c r="D14" s="4">
        <v>5</v>
      </c>
      <c r="E14" s="5">
        <v>10</v>
      </c>
      <c r="F14" s="5">
        <v>15</v>
      </c>
      <c r="G14" s="6">
        <v>20</v>
      </c>
      <c r="H14" s="6">
        <v>25</v>
      </c>
    </row>
    <row r="15" spans="2:9" ht="14.25" customHeight="1">
      <c r="C15" s="32"/>
      <c r="D15" s="4">
        <v>4</v>
      </c>
      <c r="E15" s="4">
        <v>8</v>
      </c>
      <c r="F15" s="5">
        <v>12</v>
      </c>
      <c r="G15" s="5">
        <v>16</v>
      </c>
      <c r="H15" s="6">
        <v>20</v>
      </c>
    </row>
    <row r="16" spans="2:9" ht="14.25" customHeight="1">
      <c r="C16" s="32"/>
      <c r="D16" s="4">
        <v>3</v>
      </c>
      <c r="E16" s="4">
        <v>6</v>
      </c>
      <c r="F16" s="4">
        <v>9</v>
      </c>
      <c r="G16" s="5">
        <v>12</v>
      </c>
      <c r="H16" s="5">
        <v>15</v>
      </c>
    </row>
    <row r="17" spans="3:8" ht="14.25" customHeight="1">
      <c r="C17" s="32"/>
      <c r="D17" s="4">
        <v>2</v>
      </c>
      <c r="E17" s="4">
        <v>4</v>
      </c>
      <c r="F17" s="4">
        <v>6</v>
      </c>
      <c r="G17" s="4">
        <v>8</v>
      </c>
      <c r="H17" s="5">
        <v>10</v>
      </c>
    </row>
    <row r="18" spans="3:8" ht="14.25" customHeight="1">
      <c r="C18" s="32"/>
      <c r="D18" s="4">
        <v>1</v>
      </c>
      <c r="E18" s="4">
        <v>2</v>
      </c>
      <c r="F18" s="4">
        <v>3</v>
      </c>
      <c r="G18" s="4">
        <v>4</v>
      </c>
      <c r="H18" s="4">
        <v>5</v>
      </c>
    </row>
    <row r="19" spans="3:8" ht="14.25" customHeight="1">
      <c r="C19" s="7"/>
      <c r="D19" s="33" t="s">
        <v>36</v>
      </c>
      <c r="E19" s="33"/>
      <c r="F19" s="33"/>
      <c r="G19" s="33"/>
      <c r="H19" s="33"/>
    </row>
  </sheetData>
  <mergeCells count="2">
    <mergeCell ref="C14:C18"/>
    <mergeCell ref="D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Taylor</dc:creator>
  <cp:lastModifiedBy>Clive E. Barton-Odro</cp:lastModifiedBy>
  <dcterms:created xsi:type="dcterms:W3CDTF">2022-02-11T14:51:02Z</dcterms:created>
  <dcterms:modified xsi:type="dcterms:W3CDTF">2026-07-24T08:14:12Z</dcterms:modified>
</cp:coreProperties>
</file>